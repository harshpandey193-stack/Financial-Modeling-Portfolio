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5fa1a5eb0fb3189/Desktop/GITHUB/GITHUB MODELS/"/>
    </mc:Choice>
  </mc:AlternateContent>
  <xr:revisionPtr revIDLastSave="4" documentId="11_087DE5A94D12DE585915F1F0536BFA2E1A478018" xr6:coauthVersionLast="47" xr6:coauthVersionMax="47" xr10:uidLastSave="{DDB82B52-9947-4910-A3A7-3887DC32A819}"/>
  <bookViews>
    <workbookView xWindow="-120" yWindow="-120" windowWidth="29040" windowHeight="16440" tabRatio="500" activeTab="1" xr2:uid="{00000000-000D-0000-FFFF-FFFF00000000}"/>
  </bookViews>
  <sheets>
    <sheet name="Cover" sheetId="1" r:id="rId1"/>
    <sheet name="Comps Inputs" sheetId="2" r:id="rId2"/>
    <sheet name="TSM Module" sheetId="3" r:id="rId3"/>
    <sheet name="Trading Comps" sheetId="4" r:id="rId4"/>
    <sheet name="Valuation Summary" sheetId="5" r:id="rId5"/>
    <sheet name="Football Field" sheetId="6" r:id="rId6"/>
    <sheet name="Sensitivity Table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5" l="1"/>
  <c r="C33" i="5"/>
  <c r="C32" i="5"/>
  <c r="C31" i="5"/>
  <c r="C30" i="5"/>
  <c r="C29" i="5"/>
  <c r="C28" i="5"/>
  <c r="C14" i="5"/>
  <c r="O16" i="4"/>
  <c r="O13" i="4"/>
  <c r="N13" i="4"/>
  <c r="M13" i="4"/>
  <c r="C13" i="4"/>
  <c r="B13" i="4"/>
  <c r="O12" i="4"/>
  <c r="N12" i="4"/>
  <c r="M12" i="4"/>
  <c r="C12" i="4"/>
  <c r="B12" i="4"/>
  <c r="O11" i="4"/>
  <c r="N11" i="4"/>
  <c r="M11" i="4"/>
  <c r="C11" i="4"/>
  <c r="B11" i="4"/>
  <c r="O10" i="4"/>
  <c r="N10" i="4"/>
  <c r="M10" i="4"/>
  <c r="C10" i="4"/>
  <c r="B10" i="4"/>
  <c r="O9" i="4"/>
  <c r="N9" i="4"/>
  <c r="M9" i="4"/>
  <c r="C9" i="4"/>
  <c r="B9" i="4"/>
  <c r="O8" i="4"/>
  <c r="N8" i="4"/>
  <c r="M8" i="4"/>
  <c r="C8" i="4"/>
  <c r="B8" i="4"/>
  <c r="O7" i="4"/>
  <c r="N7" i="4"/>
  <c r="C7" i="4"/>
  <c r="B7" i="4"/>
  <c r="O6" i="4"/>
  <c r="N6" i="4"/>
  <c r="C6" i="4"/>
  <c r="B6" i="4"/>
  <c r="F73" i="3"/>
  <c r="F72" i="3"/>
  <c r="F71" i="3"/>
  <c r="F70" i="3"/>
  <c r="D69" i="3"/>
  <c r="F64" i="3"/>
  <c r="F63" i="3"/>
  <c r="F62" i="3"/>
  <c r="F61" i="3"/>
  <c r="D60" i="3"/>
  <c r="F55" i="3"/>
  <c r="F54" i="3"/>
  <c r="F53" i="3"/>
  <c r="F52" i="3"/>
  <c r="D51" i="3"/>
  <c r="F46" i="3"/>
  <c r="F45" i="3"/>
  <c r="F44" i="3"/>
  <c r="F43" i="3"/>
  <c r="D42" i="3"/>
  <c r="F37" i="3"/>
  <c r="F36" i="3"/>
  <c r="F35" i="3"/>
  <c r="F34" i="3"/>
  <c r="D33" i="3"/>
  <c r="F28" i="3"/>
  <c r="F27" i="3"/>
  <c r="F26" i="3"/>
  <c r="F25" i="3"/>
  <c r="D24" i="3"/>
  <c r="F19" i="3"/>
  <c r="F18" i="3"/>
  <c r="F17" i="3"/>
  <c r="F16" i="3"/>
  <c r="D15" i="3"/>
  <c r="F10" i="3"/>
  <c r="F9" i="3"/>
  <c r="F8" i="3"/>
  <c r="F7" i="3"/>
  <c r="D6" i="3"/>
  <c r="P13" i="2"/>
  <c r="P12" i="2"/>
  <c r="P11" i="2"/>
  <c r="P10" i="2"/>
  <c r="P9" i="2"/>
  <c r="P8" i="2"/>
  <c r="P7" i="2"/>
  <c r="P6" i="2"/>
  <c r="J26" i="7" l="1"/>
  <c r="F26" i="7"/>
  <c r="D26" i="7"/>
  <c r="C26" i="7"/>
  <c r="I25" i="7"/>
  <c r="G25" i="7"/>
  <c r="E25" i="7"/>
  <c r="C25" i="7"/>
  <c r="I24" i="7"/>
  <c r="G24" i="7"/>
  <c r="E24" i="7"/>
  <c r="C24" i="7"/>
  <c r="I23" i="7"/>
  <c r="G23" i="7"/>
  <c r="E23" i="7"/>
  <c r="C23" i="7"/>
  <c r="H22" i="7"/>
  <c r="F22" i="7"/>
  <c r="D22" i="7"/>
  <c r="J21" i="7"/>
  <c r="H21" i="7"/>
  <c r="F21" i="7"/>
  <c r="E21" i="7"/>
  <c r="C21" i="7"/>
  <c r="I20" i="7"/>
  <c r="G20" i="7"/>
  <c r="E20" i="7"/>
  <c r="C20" i="7"/>
  <c r="H19" i="7"/>
  <c r="G19" i="7"/>
  <c r="E19" i="7"/>
  <c r="C19" i="7"/>
  <c r="I13" i="7"/>
  <c r="G13" i="7"/>
  <c r="E13" i="7"/>
  <c r="C13" i="7"/>
  <c r="I12" i="7"/>
  <c r="H12" i="7"/>
  <c r="F12" i="7"/>
  <c r="D12" i="7"/>
  <c r="J11" i="7"/>
  <c r="H11" i="7"/>
  <c r="F11" i="7"/>
  <c r="D11" i="7"/>
  <c r="J10" i="7"/>
  <c r="H10" i="7"/>
  <c r="F10" i="7"/>
  <c r="D10" i="7"/>
  <c r="J9" i="7"/>
  <c r="H9" i="7"/>
  <c r="F9" i="7"/>
  <c r="D9" i="7"/>
  <c r="J8" i="7"/>
  <c r="H8" i="7"/>
  <c r="E8" i="7"/>
  <c r="C8" i="7"/>
  <c r="I7" i="7"/>
  <c r="G7" i="7"/>
  <c r="E7" i="7"/>
  <c r="C7" i="7"/>
  <c r="I6" i="7"/>
  <c r="G6" i="7"/>
  <c r="F6" i="7"/>
  <c r="D6" i="7"/>
  <c r="O21" i="4"/>
  <c r="N20" i="4"/>
  <c r="M7" i="4"/>
  <c r="M6" i="4"/>
  <c r="I73" i="3"/>
  <c r="J73" i="3" s="1"/>
  <c r="J72" i="3"/>
  <c r="H72" i="3"/>
  <c r="I72" i="3" s="1"/>
  <c r="G72" i="3"/>
  <c r="J71" i="3"/>
  <c r="H71" i="3"/>
  <c r="I71" i="3" s="1"/>
  <c r="G71" i="3"/>
  <c r="J70" i="3"/>
  <c r="J75" i="3" s="1"/>
  <c r="H70" i="3"/>
  <c r="I70" i="3" s="1"/>
  <c r="G70" i="3"/>
  <c r="I64" i="3"/>
  <c r="J64" i="3" s="1"/>
  <c r="J63" i="3"/>
  <c r="H63" i="3"/>
  <c r="I63" i="3" s="1"/>
  <c r="G63" i="3"/>
  <c r="J62" i="3"/>
  <c r="H62" i="3"/>
  <c r="I62" i="3" s="1"/>
  <c r="G62" i="3"/>
  <c r="J61" i="3"/>
  <c r="J66" i="3" s="1"/>
  <c r="H61" i="3"/>
  <c r="I61" i="3" s="1"/>
  <c r="G61" i="3"/>
  <c r="I55" i="3"/>
  <c r="J55" i="3" s="1"/>
  <c r="J54" i="3"/>
  <c r="H54" i="3"/>
  <c r="I54" i="3" s="1"/>
  <c r="G54" i="3"/>
  <c r="J53" i="3"/>
  <c r="H53" i="3"/>
  <c r="I53" i="3" s="1"/>
  <c r="G53" i="3"/>
  <c r="J52" i="3"/>
  <c r="J57" i="3" s="1"/>
  <c r="H52" i="3"/>
  <c r="I52" i="3" s="1"/>
  <c r="G52" i="3"/>
  <c r="I46" i="3"/>
  <c r="J46" i="3" s="1"/>
  <c r="J45" i="3"/>
  <c r="H45" i="3"/>
  <c r="I45" i="3" s="1"/>
  <c r="G45" i="3"/>
  <c r="J44" i="3"/>
  <c r="H44" i="3"/>
  <c r="I44" i="3" s="1"/>
  <c r="G44" i="3"/>
  <c r="J43" i="3"/>
  <c r="J48" i="3" s="1"/>
  <c r="H43" i="3"/>
  <c r="I43" i="3" s="1"/>
  <c r="G43" i="3"/>
  <c r="I37" i="3"/>
  <c r="J37" i="3" s="1"/>
  <c r="J36" i="3"/>
  <c r="H36" i="3"/>
  <c r="I36" i="3" s="1"/>
  <c r="G36" i="3"/>
  <c r="J35" i="3"/>
  <c r="H35" i="3"/>
  <c r="I35" i="3" s="1"/>
  <c r="G35" i="3"/>
  <c r="J34" i="3"/>
  <c r="J39" i="3" s="1"/>
  <c r="H34" i="3"/>
  <c r="I34" i="3" s="1"/>
  <c r="G34" i="3"/>
  <c r="I28" i="3"/>
  <c r="J28" i="3" s="1"/>
  <c r="J27" i="3"/>
  <c r="H27" i="3"/>
  <c r="I27" i="3" s="1"/>
  <c r="G27" i="3"/>
  <c r="J26" i="3"/>
  <c r="H26" i="3"/>
  <c r="I26" i="3" s="1"/>
  <c r="G26" i="3"/>
  <c r="J25" i="3"/>
  <c r="H25" i="3"/>
  <c r="I25" i="3" s="1"/>
  <c r="G25" i="3"/>
  <c r="I19" i="3"/>
  <c r="J19" i="3" s="1"/>
  <c r="J18" i="3"/>
  <c r="H18" i="3"/>
  <c r="I18" i="3" s="1"/>
  <c r="G18" i="3"/>
  <c r="J17" i="3"/>
  <c r="H17" i="3"/>
  <c r="I17" i="3" s="1"/>
  <c r="G17" i="3"/>
  <c r="J16" i="3"/>
  <c r="J21" i="3" s="1"/>
  <c r="H16" i="3"/>
  <c r="I16" i="3" s="1"/>
  <c r="G16" i="3"/>
  <c r="I10" i="3"/>
  <c r="J10" i="3" s="1"/>
  <c r="J9" i="3"/>
  <c r="H9" i="3"/>
  <c r="I9" i="3" s="1"/>
  <c r="G9" i="3"/>
  <c r="J8" i="3"/>
  <c r="H8" i="3"/>
  <c r="I8" i="3" s="1"/>
  <c r="G8" i="3"/>
  <c r="J7" i="3"/>
  <c r="J12" i="3" s="1"/>
  <c r="H7" i="3"/>
  <c r="I7" i="3" s="1"/>
  <c r="G7" i="3"/>
  <c r="O20" i="4"/>
  <c r="N17" i="4"/>
  <c r="N16" i="4"/>
  <c r="I26" i="7"/>
  <c r="C4" i="6"/>
  <c r="N21" i="4"/>
  <c r="N19" i="4"/>
  <c r="N18" i="4"/>
  <c r="O17" i="4"/>
  <c r="H26" i="7"/>
  <c r="G26" i="7"/>
  <c r="E26" i="7"/>
  <c r="J25" i="7"/>
  <c r="H25" i="7"/>
  <c r="F25" i="7"/>
  <c r="D25" i="7"/>
  <c r="J24" i="7"/>
  <c r="H24" i="7"/>
  <c r="F24" i="7"/>
  <c r="D24" i="7"/>
  <c r="J23" i="7"/>
  <c r="H23" i="7"/>
  <c r="F23" i="7"/>
  <c r="D23" i="7"/>
  <c r="J22" i="7"/>
  <c r="I22" i="7"/>
  <c r="G22" i="7"/>
  <c r="E22" i="7"/>
  <c r="C22" i="7"/>
  <c r="I21" i="7"/>
  <c r="G21" i="7"/>
  <c r="D21" i="7"/>
  <c r="J20" i="7"/>
  <c r="H20" i="7"/>
  <c r="F20" i="7"/>
  <c r="D20" i="7"/>
  <c r="J19" i="7"/>
  <c r="I19" i="7"/>
  <c r="F19" i="7"/>
  <c r="D19" i="7"/>
  <c r="J13" i="7"/>
  <c r="H13" i="7"/>
  <c r="F13" i="7"/>
  <c r="D13" i="7"/>
  <c r="J12" i="7"/>
  <c r="G12" i="7"/>
  <c r="E12" i="7"/>
  <c r="C12" i="7"/>
  <c r="I11" i="7"/>
  <c r="G11" i="7"/>
  <c r="E11" i="7"/>
  <c r="C11" i="7"/>
  <c r="I10" i="7"/>
  <c r="G10" i="7"/>
  <c r="E10" i="7"/>
  <c r="C10" i="7"/>
  <c r="I9" i="7"/>
  <c r="G9" i="7"/>
  <c r="E9" i="7"/>
  <c r="C9" i="7"/>
  <c r="I8" i="7"/>
  <c r="G8" i="7"/>
  <c r="F8" i="7"/>
  <c r="D8" i="7"/>
  <c r="J7" i="7"/>
  <c r="H7" i="7"/>
  <c r="F7" i="7"/>
  <c r="D7" i="7"/>
  <c r="J6" i="7"/>
  <c r="H6" i="7"/>
  <c r="E6" i="7"/>
  <c r="C6" i="7"/>
  <c r="O19" i="4"/>
  <c r="O18" i="4"/>
  <c r="M18" i="4" l="1"/>
  <c r="M19" i="4"/>
  <c r="M16" i="4"/>
  <c r="M17" i="4"/>
  <c r="M20" i="4"/>
  <c r="M21" i="4"/>
  <c r="D66" i="3"/>
  <c r="F12" i="2" s="1"/>
  <c r="G12" i="2" s="1"/>
  <c r="D57" i="3"/>
  <c r="F11" i="2" s="1"/>
  <c r="G11" i="2" s="1"/>
  <c r="D48" i="3"/>
  <c r="F10" i="2" s="1"/>
  <c r="G10" i="2" s="1"/>
  <c r="D39" i="3"/>
  <c r="F9" i="2" s="1"/>
  <c r="G9" i="2" s="1"/>
  <c r="D30" i="3"/>
  <c r="F8" i="2" s="1"/>
  <c r="G8" i="2" s="1"/>
  <c r="J30" i="3"/>
  <c r="D21" i="3"/>
  <c r="F7" i="2" s="1"/>
  <c r="G7" i="2" s="1"/>
  <c r="D12" i="3"/>
  <c r="F6" i="2" s="1"/>
  <c r="G6" i="2" s="1"/>
  <c r="D75" i="3"/>
  <c r="F13" i="2" s="1"/>
  <c r="G13" i="2" s="1"/>
  <c r="D12" i="4" l="1"/>
  <c r="L12" i="4"/>
  <c r="I12" i="4"/>
  <c r="L12" i="2"/>
  <c r="I11" i="4"/>
  <c r="L11" i="4"/>
  <c r="D11" i="4"/>
  <c r="L11" i="2"/>
  <c r="L10" i="4"/>
  <c r="I10" i="4"/>
  <c r="D10" i="4"/>
  <c r="L10" i="2"/>
  <c r="L9" i="4"/>
  <c r="I9" i="4"/>
  <c r="D9" i="4"/>
  <c r="L9" i="2"/>
  <c r="I8" i="4"/>
  <c r="L8" i="4"/>
  <c r="D8" i="4"/>
  <c r="L8" i="2"/>
  <c r="L7" i="4"/>
  <c r="I7" i="4"/>
  <c r="D7" i="4"/>
  <c r="L7" i="2"/>
  <c r="L6" i="4"/>
  <c r="I6" i="4"/>
  <c r="D6" i="4"/>
  <c r="L6" i="2"/>
  <c r="L13" i="4"/>
  <c r="I13" i="4"/>
  <c r="D13" i="4"/>
  <c r="L13" i="2"/>
  <c r="E12" i="4" l="1"/>
  <c r="F12" i="4"/>
  <c r="H12" i="4"/>
  <c r="J12" i="4"/>
  <c r="G12" i="4"/>
  <c r="K12" i="4"/>
  <c r="F11" i="4"/>
  <c r="H11" i="4"/>
  <c r="K11" i="4"/>
  <c r="E11" i="4"/>
  <c r="G11" i="4"/>
  <c r="J11" i="4"/>
  <c r="E10" i="4"/>
  <c r="G10" i="4"/>
  <c r="H10" i="4"/>
  <c r="J10" i="4"/>
  <c r="K10" i="4"/>
  <c r="F10" i="4"/>
  <c r="F9" i="4"/>
  <c r="G9" i="4"/>
  <c r="H9" i="4"/>
  <c r="J9" i="4"/>
  <c r="K9" i="4"/>
  <c r="E9" i="4"/>
  <c r="E8" i="4"/>
  <c r="F8" i="4"/>
  <c r="G8" i="4"/>
  <c r="H8" i="4"/>
  <c r="K8" i="4"/>
  <c r="J8" i="4"/>
  <c r="E7" i="4"/>
  <c r="F7" i="4"/>
  <c r="G7" i="4"/>
  <c r="H7" i="4"/>
  <c r="J7" i="4"/>
  <c r="K7" i="4"/>
  <c r="L16" i="4"/>
  <c r="L21" i="4"/>
  <c r="E34" i="5" s="1"/>
  <c r="G34" i="5" s="1"/>
  <c r="I34" i="5" s="1"/>
  <c r="K34" i="5" s="1"/>
  <c r="D12" i="6" s="1"/>
  <c r="L20" i="4"/>
  <c r="D34" i="5" s="1"/>
  <c r="F34" i="5" s="1"/>
  <c r="H34" i="5" s="1"/>
  <c r="J34" i="5" s="1"/>
  <c r="C12" i="6" s="1"/>
  <c r="E12" i="6" s="1"/>
  <c r="G12" i="6" s="1"/>
  <c r="L17" i="4"/>
  <c r="L18" i="4"/>
  <c r="L19" i="4"/>
  <c r="I16" i="4"/>
  <c r="I21" i="4"/>
  <c r="E31" i="5" s="1"/>
  <c r="G31" i="5" s="1"/>
  <c r="I31" i="5" s="1"/>
  <c r="K31" i="5" s="1"/>
  <c r="D9" i="6" s="1"/>
  <c r="F9" i="6" s="1"/>
  <c r="I19" i="4"/>
  <c r="I20" i="4"/>
  <c r="D31" i="5" s="1"/>
  <c r="F31" i="5" s="1"/>
  <c r="H31" i="5" s="1"/>
  <c r="J31" i="5" s="1"/>
  <c r="C9" i="6" s="1"/>
  <c r="I17" i="4"/>
  <c r="I18" i="4"/>
  <c r="D16" i="4"/>
  <c r="D19" i="4"/>
  <c r="D20" i="4"/>
  <c r="D17" i="4"/>
  <c r="D18" i="4"/>
  <c r="D21" i="4"/>
  <c r="E6" i="4"/>
  <c r="F6" i="4"/>
  <c r="G6" i="4"/>
  <c r="H6" i="4"/>
  <c r="J6" i="4"/>
  <c r="K6" i="4"/>
  <c r="E13" i="4"/>
  <c r="F13" i="4"/>
  <c r="G13" i="4"/>
  <c r="H13" i="4"/>
  <c r="J13" i="4"/>
  <c r="K13" i="4"/>
  <c r="E16" i="4" l="1"/>
  <c r="E21" i="4"/>
  <c r="E17" i="4"/>
  <c r="E18" i="4"/>
  <c r="E19" i="4"/>
  <c r="E20" i="4"/>
  <c r="F16" i="4"/>
  <c r="F19" i="4"/>
  <c r="F20" i="4"/>
  <c r="D28" i="5" s="1"/>
  <c r="F28" i="5" s="1"/>
  <c r="H28" i="5" s="1"/>
  <c r="J28" i="5" s="1"/>
  <c r="F18" i="4"/>
  <c r="F17" i="4"/>
  <c r="F21" i="4"/>
  <c r="E28" i="5" s="1"/>
  <c r="G28" i="5" s="1"/>
  <c r="I28" i="5" s="1"/>
  <c r="K28" i="5" s="1"/>
  <c r="G16" i="4"/>
  <c r="G21" i="4"/>
  <c r="E29" i="5" s="1"/>
  <c r="G29" i="5" s="1"/>
  <c r="I29" i="5" s="1"/>
  <c r="K29" i="5" s="1"/>
  <c r="D7" i="6" s="1"/>
  <c r="F7" i="6" s="1"/>
  <c r="G17" i="4"/>
  <c r="G18" i="4"/>
  <c r="G19" i="4"/>
  <c r="G20" i="4"/>
  <c r="D29" i="5" s="1"/>
  <c r="F29" i="5" s="1"/>
  <c r="H29" i="5" s="1"/>
  <c r="J29" i="5" s="1"/>
  <c r="C7" i="6" s="1"/>
  <c r="H16" i="4"/>
  <c r="H18" i="4"/>
  <c r="H19" i="4"/>
  <c r="H20" i="4"/>
  <c r="D30" i="5" s="1"/>
  <c r="F30" i="5" s="1"/>
  <c r="H30" i="5" s="1"/>
  <c r="J30" i="5" s="1"/>
  <c r="C8" i="6" s="1"/>
  <c r="E8" i="6" s="1"/>
  <c r="G8" i="6" s="1"/>
  <c r="H17" i="4"/>
  <c r="H21" i="4"/>
  <c r="E30" i="5" s="1"/>
  <c r="G30" i="5" s="1"/>
  <c r="I30" i="5" s="1"/>
  <c r="K30" i="5" s="1"/>
  <c r="D8" i="6" s="1"/>
  <c r="J16" i="4"/>
  <c r="J19" i="4"/>
  <c r="J17" i="4"/>
  <c r="J18" i="4"/>
  <c r="J21" i="4"/>
  <c r="E32" i="5" s="1"/>
  <c r="G32" i="5" s="1"/>
  <c r="I32" i="5" s="1"/>
  <c r="K32" i="5" s="1"/>
  <c r="D10" i="6" s="1"/>
  <c r="J20" i="4"/>
  <c r="D32" i="5" s="1"/>
  <c r="F32" i="5" s="1"/>
  <c r="H32" i="5" s="1"/>
  <c r="J32" i="5" s="1"/>
  <c r="C10" i="6" s="1"/>
  <c r="E10" i="6" s="1"/>
  <c r="G10" i="6" s="1"/>
  <c r="K16" i="4"/>
  <c r="K20" i="4"/>
  <c r="D33" i="5" s="1"/>
  <c r="F33" i="5" s="1"/>
  <c r="H33" i="5" s="1"/>
  <c r="J33" i="5" s="1"/>
  <c r="C11" i="6" s="1"/>
  <c r="K18" i="4"/>
  <c r="K21" i="4"/>
  <c r="E33" i="5" s="1"/>
  <c r="G33" i="5" s="1"/>
  <c r="I33" i="5" s="1"/>
  <c r="K33" i="5" s="1"/>
  <c r="D11" i="6" s="1"/>
  <c r="F11" i="6" s="1"/>
  <c r="K17" i="4"/>
  <c r="K19" i="4"/>
  <c r="F12" i="6"/>
  <c r="E9" i="6"/>
  <c r="G9" i="6" s="1"/>
  <c r="C6" i="6" l="1"/>
  <c r="J37" i="5"/>
  <c r="K37" i="5"/>
  <c r="D6" i="6"/>
  <c r="E7" i="6"/>
  <c r="G7" i="6" s="1"/>
  <c r="F8" i="6"/>
  <c r="F10" i="6"/>
  <c r="E11" i="6"/>
  <c r="G11" i="6" s="1"/>
  <c r="E6" i="6" l="1"/>
  <c r="G6" i="6" s="1"/>
  <c r="C13" i="6"/>
  <c r="F6" i="6"/>
  <c r="D13" i="6"/>
  <c r="E13" i="6" l="1"/>
</calcChain>
</file>

<file path=xl/sharedStrings.xml><?xml version="1.0" encoding="utf-8"?>
<sst xmlns="http://schemas.openxmlformats.org/spreadsheetml/2006/main" count="276" uniqueCount="182">
  <si>
    <t>COMPARABLE COMPANY ANALYSIS</t>
  </si>
  <si>
    <t>MODEL NAVIGATION</t>
  </si>
  <si>
    <t>1</t>
  </si>
  <si>
    <t>Comps Inputs</t>
  </si>
  <si>
    <t>2</t>
  </si>
  <si>
    <t>TSM Module</t>
  </si>
  <si>
    <t>3</t>
  </si>
  <si>
    <t>Trading Comps</t>
  </si>
  <si>
    <t>4</t>
  </si>
  <si>
    <t>Valuation Summary</t>
  </si>
  <si>
    <t>5</t>
  </si>
  <si>
    <t>Football Field</t>
  </si>
  <si>
    <t>6</t>
  </si>
  <si>
    <t>Sensitivity Tables</t>
  </si>
  <si>
    <t xml:space="preserve">  COMPARABLE COMPANY ANALYSIS – INPUTS</t>
  </si>
  <si>
    <t>BACK --&gt;</t>
  </si>
  <si>
    <t xml:space="preserve">  Blue = inputs. Black = formulas. Green = cross-sheet. Diluted Shares pull from TSM Module. EV = Mkt Cap + Debt + Min.Int + Pref. − Cash.</t>
  </si>
  <si>
    <t>IDENTIFICATION</t>
  </si>
  <si>
    <t>SHARE COUNT &amp; MARKET CAP</t>
  </si>
  <si>
    <t>EV BRIDGE</t>
  </si>
  <si>
    <t>LTM FINANCIALS</t>
  </si>
  <si>
    <t>NTM ESTIMATES</t>
  </si>
  <si>
    <t>Company
Name</t>
  </si>
  <si>
    <t>Ticker</t>
  </si>
  <si>
    <t>Share
Price ($)</t>
  </si>
  <si>
    <t>Basic Shares
Out (mm)</t>
  </si>
  <si>
    <t>Diluted Shares
(mm, TSM →</t>
  </si>
  <si>
    <t>Market Cap
($mm)</t>
  </si>
  <si>
    <t>Total Debt
($mm)</t>
  </si>
  <si>
    <t>Minority
Interest ($mm)</t>
  </si>
  <si>
    <t>Preferred
Equity ($mm)</t>
  </si>
  <si>
    <t>Cash &amp;
Equiv ($mm)</t>
  </si>
  <si>
    <t>Enterprise
Value ($mm)</t>
  </si>
  <si>
    <t>Revenue
LTM ($mm)</t>
  </si>
  <si>
    <t>EBITDA
LTM ($mm)</t>
  </si>
  <si>
    <t>Adj.
($mm)</t>
  </si>
  <si>
    <t>Adj. EBITDA
LTM ($mm)</t>
  </si>
  <si>
    <t>EBIT
LTM ($mm)</t>
  </si>
  <si>
    <t>Net Income
LTM ($mm)</t>
  </si>
  <si>
    <t>EPS
LTM ($)</t>
  </si>
  <si>
    <t>Revenue
NTM ($mm)</t>
  </si>
  <si>
    <t>EBITDA
NTM ($mm)</t>
  </si>
  <si>
    <t>EPS
NTM ($)</t>
  </si>
  <si>
    <t xml:space="preserve">  PEER GROUP – MARKET &amp; FINANCIAL DATA  (Diluted shares from TSM Module)</t>
  </si>
  <si>
    <t>Company A (Target / Subject)</t>
  </si>
  <si>
    <t>TGT US</t>
  </si>
  <si>
    <t>Peer 1</t>
  </si>
  <si>
    <t>PEER1 US</t>
  </si>
  <si>
    <t>Peer 2</t>
  </si>
  <si>
    <t>PEER2 US</t>
  </si>
  <si>
    <t>Peer 3</t>
  </si>
  <si>
    <t>PEER3 US</t>
  </si>
  <si>
    <t>Peer 4</t>
  </si>
  <si>
    <t>PEER4 US</t>
  </si>
  <si>
    <t>Peer 5</t>
  </si>
  <si>
    <t>PEER5 US</t>
  </si>
  <si>
    <t>Peer 6</t>
  </si>
  <si>
    <t>PEER6 US</t>
  </si>
  <si>
    <t>Peer 7</t>
  </si>
  <si>
    <t>PEER7 US</t>
  </si>
  <si>
    <t>Source: Bloomberg / FactSet / 10-K Filings. Col O = non-recurring items from footnotes (SBC, restructuring, legal, etc.). Col L EV = Mkt Cap + Debt + Minority Interest + Preferred − Cash. Replace placeholder names/tickers before use.</t>
  </si>
  <si>
    <t xml:space="preserve">  TSM MODULE – TREASURY STOCK METHOD (DILUTED SHARE COUNT)</t>
  </si>
  <si>
    <t>Line Item</t>
  </si>
  <si>
    <t>Tranche / Type</t>
  </si>
  <si>
    <t>Options / RSUs
(mm)</t>
  </si>
  <si>
    <t>Strike / Avg
Vesting Price ($)</t>
  </si>
  <si>
    <t>Current Share
Price ($)</t>
  </si>
  <si>
    <t>In-the-Money?
(Y/N)</t>
  </si>
  <si>
    <t>Gross Proceeds
($mm)</t>
  </si>
  <si>
    <t>Shares
Repurchased (mm)</t>
  </si>
  <si>
    <t>Net Dilution
(mm shares)</t>
  </si>
  <si>
    <t xml:space="preserve">  Company A (Target / Subject)  |  TGT US</t>
  </si>
  <si>
    <t xml:space="preserve">  Basic Shares Outstanding</t>
  </si>
  <si>
    <t xml:space="preserve">    Options – Tranche 1</t>
  </si>
  <si>
    <t>Low-Strike / Earliest</t>
  </si>
  <si>
    <t xml:space="preserve">    Options – Tranche 2</t>
  </si>
  <si>
    <t>Mid-Strike</t>
  </si>
  <si>
    <t xml:space="preserve">    Options – Tranche 3</t>
  </si>
  <si>
    <t>High-Strike / OTM</t>
  </si>
  <si>
    <t xml:space="preserve">    Restricted Stock Units (RSUs)</t>
  </si>
  <si>
    <t>Unvested / Full Dilution</t>
  </si>
  <si>
    <t>—</t>
  </si>
  <si>
    <t xml:space="preserve">  ► Diluted Shares – Company A (Target / Subject)</t>
  </si>
  <si>
    <t xml:space="preserve">  Peer 1  |  PEER1 US</t>
  </si>
  <si>
    <t xml:space="preserve">  ► Diluted Shares – Peer 1</t>
  </si>
  <si>
    <t xml:space="preserve">  Peer 2  |  PEER2 US</t>
  </si>
  <si>
    <t xml:space="preserve">  ► Diluted Shares – Peer 2</t>
  </si>
  <si>
    <t xml:space="preserve">  Peer 3  |  PEER3 US</t>
  </si>
  <si>
    <t xml:space="preserve">  ► Diluted Shares – Peer 3</t>
  </si>
  <si>
    <t xml:space="preserve">  Peer 4  |  PEER4 US</t>
  </si>
  <si>
    <t xml:space="preserve">  ► Diluted Shares – Peer 4</t>
  </si>
  <si>
    <t xml:space="preserve">  Peer 5  |  PEER5 US</t>
  </si>
  <si>
    <t xml:space="preserve">  ► Diluted Shares – Peer 5</t>
  </si>
  <si>
    <t xml:space="preserve">  Peer 6  |  PEER6 US</t>
  </si>
  <si>
    <t xml:space="preserve">  ► Diluted Shares – Peer 6</t>
  </si>
  <si>
    <t xml:space="preserve">  Peer 7  |  PEER7 US</t>
  </si>
  <si>
    <t xml:space="preserve">  ► Diluted Shares – Peer 7</t>
  </si>
  <si>
    <t xml:space="preserve">  TRADING COMPS</t>
  </si>
  <si>
    <t xml:space="preserve">  EV/EBITDA uses Adjusted EBITDA (col P from Comps Inputs). Green = cross-sheet reference.</t>
  </si>
  <si>
    <t>Company</t>
  </si>
  <si>
    <t>Mkt Cap
($mm)</t>
  </si>
  <si>
    <t>EV
($mm)</t>
  </si>
  <si>
    <t>EV/Rev
LTM</t>
  </si>
  <si>
    <t>EV/Adj.
EBITDA LTM</t>
  </si>
  <si>
    <t>EV/EBIT
LTM</t>
  </si>
  <si>
    <t>P/E
LTM</t>
  </si>
  <si>
    <t>EV/Rev
NTM</t>
  </si>
  <si>
    <t>EV/EBITDA
NTM</t>
  </si>
  <si>
    <t>P/E
NTM</t>
  </si>
  <si>
    <t>Adj.EBITDA
Margin %</t>
  </si>
  <si>
    <t>Net
Margin %</t>
  </si>
  <si>
    <t>Rev Growth
% NTM</t>
  </si>
  <si>
    <t xml:space="preserve">  PEER GROUP TRADING MULTIPLES</t>
  </si>
  <si>
    <t xml:space="preserve">  SUMMARY STATISTICS</t>
  </si>
  <si>
    <t xml:space="preserve">  Mean</t>
  </si>
  <si>
    <t xml:space="preserve">  Median</t>
  </si>
  <si>
    <t xml:space="preserve">  High</t>
  </si>
  <si>
    <t xml:space="preserve">  Low</t>
  </si>
  <si>
    <t xml:space="preserve">  25th Percentile</t>
  </si>
  <si>
    <t xml:space="preserve">  75th Percentile</t>
  </si>
  <si>
    <t xml:space="preserve">  VALUATION SUMMARY</t>
  </si>
  <si>
    <t xml:space="preserve">  All multiples pre-filled from Trading Comps (25th/75th %ile). Discount toggles apply before final price output.</t>
  </si>
  <si>
    <t>Valuation Method</t>
  </si>
  <si>
    <t>Subject Co.
Metric ($mm)</t>
  </si>
  <si>
    <t>Multiple
Low (x)</t>
  </si>
  <si>
    <t>Multiple
High (x)</t>
  </si>
  <si>
    <t>Adj. Multiple
Low (post-disc.)</t>
  </si>
  <si>
    <t>Adj. Multiple
High (post-disc.)</t>
  </si>
  <si>
    <t>Implied EV
Low ($mm)</t>
  </si>
  <si>
    <t>Implied EV
High ($mm)</t>
  </si>
  <si>
    <t>Implied Price
Low ($)</t>
  </si>
  <si>
    <t>Implied Price
High ($)</t>
  </si>
  <si>
    <t xml:space="preserve">  SUBJECT COMPANY ASSUMPTIONS</t>
  </si>
  <si>
    <t xml:space="preserve">  Net Debt of Subject Company ($mm)</t>
  </si>
  <si>
    <t xml:space="preserve">  Diluted Shares Outstanding (mm) – from TSM Module</t>
  </si>
  <si>
    <t xml:space="preserve">  Current Share Price ($) – for reference</t>
  </si>
  <si>
    <t xml:space="preserve">  PREMIUM / DISCOUNT TOGGLES  (Applied to multiples before implying price)</t>
  </si>
  <si>
    <t xml:space="preserve">  Illiquidity / Minority Discount (%)</t>
  </si>
  <si>
    <t>Applied for private/minority-stake targets. Typical: (10%) to (20%).</t>
  </si>
  <si>
    <t xml:space="preserve">  Size / SMID-Cap Discount (%)</t>
  </si>
  <si>
    <t>Applied when subject is smaller than peer avg. Typical: (5%) to (15%).</t>
  </si>
  <si>
    <t xml:space="preserve">  Quality / Margin Discount (%)</t>
  </si>
  <si>
    <t>Applied when subject margins below peer median. Typical: 0% to (10%).</t>
  </si>
  <si>
    <t xml:space="preserve">  Control Premium (%)</t>
  </si>
  <si>
    <t>Add for M&amp;A context. Typical: +20% to +30% over trading value.</t>
  </si>
  <si>
    <t xml:space="preserve">  ► Net Adjustment Factor  (1 + sum of above)</t>
  </si>
  <si>
    <t xml:space="preserve">  SUBJECT COMPANY FINANCIALS (Enter Below)</t>
  </si>
  <si>
    <t xml:space="preserve">  Revenue – LTM ($mm)</t>
  </si>
  <si>
    <t xml:space="preserve">  EBITDA – LTM (reported, $mm)</t>
  </si>
  <si>
    <t xml:space="preserve">  EBITDA – LTM (adjusted, $mm)</t>
  </si>
  <si>
    <t xml:space="preserve">  EBIT – LTM ($mm)</t>
  </si>
  <si>
    <t xml:space="preserve">  Net Income – LTM ($mm)</t>
  </si>
  <si>
    <t xml:space="preserve">  EPS – LTM ($)</t>
  </si>
  <si>
    <t xml:space="preserve">  Revenue – NTM ($mm)</t>
  </si>
  <si>
    <t xml:space="preserve">  EBITDA – NTM ($mm)</t>
  </si>
  <si>
    <t xml:space="preserve">  EPS – NTM ($)</t>
  </si>
  <si>
    <t xml:space="preserve">  TRADING COMPS MULTIPLES  (Pre-filled: 25th &amp; 75th %ile from Trading Comps — override as needed)</t>
  </si>
  <si>
    <t xml:space="preserve">  EV / Revenue – LTM</t>
  </si>
  <si>
    <t xml:space="preserve">  EV / Adj.EBITDA – LTM</t>
  </si>
  <si>
    <t xml:space="preserve">  EV / EBIT – LTM</t>
  </si>
  <si>
    <t xml:space="preserve">  P/E – LTM</t>
  </si>
  <si>
    <t xml:space="preserve">  EV / Revenue – NTM</t>
  </si>
  <si>
    <t xml:space="preserve">  EV / EBITDA – NTM</t>
  </si>
  <si>
    <t xml:space="preserve">  P/E – NTM</t>
  </si>
  <si>
    <t xml:space="preserve">  OVERALL IMPLIED PRICE RANGE  (Post-Discount / Post-Premium)</t>
  </si>
  <si>
    <t xml:space="preserve">  Overall Implied Price Range (All Methodologies)</t>
  </si>
  <si>
    <t xml:space="preserve">  FOOTBALL FIELD – IMPLIED PRICE RANGE  (Post-Discount)</t>
  </si>
  <si>
    <t xml:space="preserve">  Implied prices reflect discount/premium toggles from Valuation Summary. Net adj. factor shown below.</t>
  </si>
  <si>
    <t>Midpoint
($)</t>
  </si>
  <si>
    <t>Range Width
($)</t>
  </si>
  <si>
    <t>vs. Current Price
(% Prem./(Disc.))</t>
  </si>
  <si>
    <t xml:space="preserve">  Net Adjustment Factor applied: ='Valuation Summary'!C14</t>
  </si>
  <si>
    <t xml:space="preserve">  VALUATION RANGE BY METHOD</t>
  </si>
  <si>
    <t xml:space="preserve">  Overall Implied Price Range</t>
  </si>
  <si>
    <t xml:space="preserve">  SENSITIVITY TABLES</t>
  </si>
  <si>
    <t xml:space="preserve">  Implied share prices incorporate net discount/premium factor from Valuation Summary. Blue = editable inputs.</t>
  </si>
  <si>
    <t xml:space="preserve">  TABLE 1: IMPLIED SHARE PRICE  |  EV/Adj.EBITDA Multiple  ×  Adj.EBITDA ($mm)  [w/ Discount]</t>
  </si>
  <si>
    <t xml:space="preserve">  EV/EBITDA Multiple →</t>
  </si>
  <si>
    <t xml:space="preserve">  Adj.EBITDA ↓</t>
  </si>
  <si>
    <t xml:space="preserve">  TABLE 2: IMPLIED SHARE PRICE  |  EV/Revenue Multiple  ×  Revenue ($mm)  [w/ Discount]</t>
  </si>
  <si>
    <t xml:space="preserve">  EV/Revenue Multiple →</t>
  </si>
  <si>
    <t xml:space="preserve">  Revenue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</si>
</sst>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;\-"/>
    <numFmt numFmtId="165" formatCode="#,##0.0;\(#,##0.0\);\-"/>
    <numFmt numFmtId="166" formatCode="\$#,##0;&quot;($&quot;#,##0;\-"/>
    <numFmt numFmtId="167" formatCode="0.0\x;\(0.0&quot;x)&quot;;\-"/>
    <numFmt numFmtId="168" formatCode="0.0%;\(0.0%\);\-"/>
  </numFmts>
  <fonts count="21" x14ac:knownFonts="1">
    <font>
      <sz val="11"/>
      <color theme="1"/>
      <name val="Calibri"/>
      <family val="2"/>
      <charset val="1"/>
    </font>
    <font>
      <b/>
      <sz val="28"/>
      <color rgb="FF000000"/>
      <name val="Cambria"/>
      <family val="1"/>
    </font>
    <font>
      <sz val="11"/>
      <color rgb="FF000000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i/>
      <sz val="9"/>
      <color rgb="FF595959"/>
      <name val="Cambria"/>
      <family val="1"/>
    </font>
    <font>
      <b/>
      <sz val="8"/>
      <color rgb="FFFFFFFF"/>
      <name val="Cambria"/>
      <family val="1"/>
    </font>
    <font>
      <b/>
      <sz val="9"/>
      <color rgb="FFFFFFFF"/>
      <name val="Cambria"/>
      <family val="1"/>
    </font>
    <font>
      <b/>
      <sz val="10"/>
      <color rgb="FFFFFFFF"/>
      <name val="Cambria"/>
      <family val="1"/>
    </font>
    <font>
      <sz val="10"/>
      <color rgb="FF0000FF"/>
      <name val="Cambria"/>
      <family val="1"/>
    </font>
    <font>
      <sz val="10"/>
      <color rgb="FF008000"/>
      <name val="Cambria"/>
      <family val="1"/>
    </font>
    <font>
      <sz val="10"/>
      <color rgb="FF000000"/>
      <name val="Cambria"/>
      <family val="1"/>
    </font>
    <font>
      <i/>
      <sz val="8"/>
      <color rgb="FF595959"/>
      <name val="Cambria"/>
      <family val="1"/>
    </font>
    <font>
      <i/>
      <sz val="8"/>
      <color rgb="FF2E5090"/>
      <name val="Cambria"/>
      <family val="1"/>
    </font>
    <font>
      <i/>
      <sz val="10"/>
      <color rgb="FF595959"/>
      <name val="Cambria"/>
      <family val="1"/>
    </font>
    <font>
      <b/>
      <sz val="10"/>
      <color rgb="FF008000"/>
      <name val="Cambria"/>
      <family val="1"/>
    </font>
    <font>
      <b/>
      <sz val="10"/>
      <color rgb="FF0000FF"/>
      <name val="Cambria"/>
      <family val="1"/>
    </font>
    <font>
      <b/>
      <i/>
      <sz val="9"/>
      <color rgb="FF7B3F00"/>
      <name val="Cambria"/>
      <family val="1"/>
    </font>
    <font>
      <b/>
      <sz val="10"/>
      <color rgb="FF7B3F0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445A7A"/>
        <bgColor rgb="FF595959"/>
      </patternFill>
    </fill>
    <fill>
      <patternFill patternType="solid">
        <fgColor rgb="FF2E5090"/>
        <bgColor rgb="FF445A7A"/>
      </patternFill>
    </fill>
    <fill>
      <patternFill patternType="solid">
        <fgColor rgb="FFE8ECF0"/>
        <bgColor rgb="FFEFF6FF"/>
      </patternFill>
    </fill>
    <fill>
      <patternFill patternType="solid">
        <fgColor rgb="FFEFF6FF"/>
        <bgColor rgb="FFE8ECF0"/>
      </patternFill>
    </fill>
    <fill>
      <patternFill patternType="solid">
        <fgColor rgb="FFFFF2CC"/>
        <bgColor rgb="FFE8ECF0"/>
      </patternFill>
    </fill>
    <fill>
      <patternFill patternType="solid">
        <fgColor rgb="FFFFFFFF"/>
        <bgColor rgb="FFEFF6FF"/>
      </patternFill>
    </fill>
    <fill>
      <patternFill patternType="solid">
        <fgColor rgb="FF1F3864"/>
        <bgColor rgb="FF2E5090"/>
      </patternFill>
    </fill>
    <fill>
      <patternFill patternType="solid">
        <fgColor rgb="FFD6DCE4"/>
        <bgColor rgb="FFE8ECF0"/>
      </patternFill>
    </fill>
    <fill>
      <patternFill patternType="solid">
        <fgColor rgb="FF7B3F00"/>
        <bgColor rgb="FF993366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9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4" fillId="4" borderId="6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165" fontId="12" fillId="4" borderId="7" xfId="0" applyNumberFormat="1" applyFont="1" applyFill="1" applyBorder="1" applyAlignment="1">
      <alignment horizontal="right" vertical="center"/>
    </xf>
    <xf numFmtId="166" fontId="13" fillId="4" borderId="7" xfId="0" applyNumberFormat="1" applyFont="1" applyFill="1" applyBorder="1" applyAlignment="1">
      <alignment horizontal="right" vertical="center"/>
    </xf>
    <xf numFmtId="166" fontId="11" fillId="5" borderId="7" xfId="0" applyNumberFormat="1" applyFont="1" applyFill="1" applyBorder="1" applyAlignment="1">
      <alignment horizontal="right" vertical="center"/>
    </xf>
    <xf numFmtId="166" fontId="4" fillId="4" borderId="7" xfId="0" applyNumberFormat="1" applyFont="1" applyFill="1" applyBorder="1" applyAlignment="1">
      <alignment horizontal="right" vertical="center"/>
    </xf>
    <xf numFmtId="166" fontId="11" fillId="6" borderId="7" xfId="0" applyNumberFormat="1" applyFont="1" applyFill="1" applyBorder="1" applyAlignment="1">
      <alignment horizontal="right" vertical="center"/>
    </xf>
    <xf numFmtId="0" fontId="13" fillId="7" borderId="6" xfId="0" applyFont="1" applyFill="1" applyBorder="1" applyAlignment="1">
      <alignment horizontal="left" vertical="center"/>
    </xf>
    <xf numFmtId="165" fontId="12" fillId="7" borderId="7" xfId="0" applyNumberFormat="1" applyFont="1" applyFill="1" applyBorder="1" applyAlignment="1">
      <alignment horizontal="right" vertical="center"/>
    </xf>
    <xf numFmtId="166" fontId="13" fillId="7" borderId="7" xfId="0" applyNumberFormat="1" applyFont="1" applyFill="1" applyBorder="1" applyAlignment="1">
      <alignment horizontal="right" vertical="center"/>
    </xf>
    <xf numFmtId="166" fontId="4" fillId="7" borderId="7" xfId="0" applyNumberFormat="1" applyFont="1" applyFill="1" applyBorder="1" applyAlignment="1">
      <alignment horizontal="right" vertical="center"/>
    </xf>
    <xf numFmtId="0" fontId="13" fillId="4" borderId="6" xfId="0" applyFont="1" applyFill="1" applyBorder="1" applyAlignment="1">
      <alignment horizontal="left" vertical="center"/>
    </xf>
    <xf numFmtId="0" fontId="14" fillId="0" borderId="8" xfId="0" applyFont="1" applyBorder="1"/>
    <xf numFmtId="0" fontId="15" fillId="0" borderId="0" xfId="0" applyFont="1"/>
    <xf numFmtId="0" fontId="0" fillId="4" borderId="9" xfId="0" applyFill="1" applyBorder="1"/>
    <xf numFmtId="0" fontId="16" fillId="7" borderId="7" xfId="0" applyFont="1" applyFill="1" applyBorder="1" applyAlignment="1">
      <alignment horizontal="center" vertical="center"/>
    </xf>
    <xf numFmtId="164" fontId="12" fillId="7" borderId="7" xfId="0" applyNumberFormat="1" applyFont="1" applyFill="1" applyBorder="1" applyAlignment="1">
      <alignment horizontal="right" vertical="center"/>
    </xf>
    <xf numFmtId="0" fontId="4" fillId="7" borderId="7" xfId="0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right" vertical="center"/>
    </xf>
    <xf numFmtId="0" fontId="16" fillId="4" borderId="7" xfId="0" applyFont="1" applyFill="1" applyBorder="1" applyAlignment="1">
      <alignment horizontal="center" vertical="center"/>
    </xf>
    <xf numFmtId="164" fontId="12" fillId="4" borderId="7" xfId="0" applyNumberFormat="1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165" fontId="13" fillId="4" borderId="7" xfId="0" applyNumberFormat="1" applyFont="1" applyFill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0" fontId="10" fillId="8" borderId="10" xfId="0" applyFont="1" applyFill="1" applyBorder="1" applyAlignment="1">
      <alignment horizontal="left" vertical="center"/>
    </xf>
    <xf numFmtId="0" fontId="0" fillId="8" borderId="11" xfId="0" applyFill="1" applyBorder="1"/>
    <xf numFmtId="165" fontId="10" fillId="8" borderId="12" xfId="0" applyNumberFormat="1" applyFont="1" applyFill="1" applyBorder="1" applyAlignment="1">
      <alignment horizontal="right" vertical="center"/>
    </xf>
    <xf numFmtId="0" fontId="17" fillId="4" borderId="6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 vertical="center"/>
    </xf>
    <xf numFmtId="166" fontId="12" fillId="4" borderId="7" xfId="0" applyNumberFormat="1" applyFont="1" applyFill="1" applyBorder="1" applyAlignment="1">
      <alignment horizontal="right" vertical="center"/>
    </xf>
    <xf numFmtId="167" fontId="13" fillId="4" borderId="7" xfId="0" applyNumberFormat="1" applyFont="1" applyFill="1" applyBorder="1" applyAlignment="1">
      <alignment horizontal="right" vertical="center"/>
    </xf>
    <xf numFmtId="168" fontId="13" fillId="4" borderId="7" xfId="0" applyNumberFormat="1" applyFont="1" applyFill="1" applyBorder="1" applyAlignment="1">
      <alignment horizontal="right"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center" vertical="center"/>
    </xf>
    <xf numFmtId="166" fontId="12" fillId="7" borderId="7" xfId="0" applyNumberFormat="1" applyFont="1" applyFill="1" applyBorder="1" applyAlignment="1">
      <alignment horizontal="right" vertical="center"/>
    </xf>
    <xf numFmtId="167" fontId="13" fillId="7" borderId="7" xfId="0" applyNumberFormat="1" applyFont="1" applyFill="1" applyBorder="1" applyAlignment="1">
      <alignment horizontal="right" vertical="center"/>
    </xf>
    <xf numFmtId="168" fontId="13" fillId="7" borderId="7" xfId="0" applyNumberFormat="1" applyFont="1" applyFill="1" applyBorder="1" applyAlignment="1">
      <alignment horizontal="right" vertical="center"/>
    </xf>
    <xf numFmtId="0" fontId="12" fillId="4" borderId="6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0" fontId="0" fillId="9" borderId="7" xfId="0" applyFill="1" applyBorder="1" applyAlignment="1">
      <alignment horizontal="right" vertical="center"/>
    </xf>
    <xf numFmtId="166" fontId="4" fillId="9" borderId="7" xfId="0" applyNumberFormat="1" applyFont="1" applyFill="1" applyBorder="1" applyAlignment="1">
      <alignment horizontal="right" vertical="center"/>
    </xf>
    <xf numFmtId="167" fontId="4" fillId="9" borderId="7" xfId="0" applyNumberFormat="1" applyFont="1" applyFill="1" applyBorder="1" applyAlignment="1">
      <alignment horizontal="right" vertical="center"/>
    </xf>
    <xf numFmtId="168" fontId="4" fillId="9" borderId="7" xfId="0" applyNumberFormat="1" applyFont="1" applyFill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167" fontId="4" fillId="4" borderId="7" xfId="0" applyNumberFormat="1" applyFont="1" applyFill="1" applyBorder="1" applyAlignment="1">
      <alignment horizontal="right" vertical="center"/>
    </xf>
    <xf numFmtId="168" fontId="4" fillId="4" borderId="7" xfId="0" applyNumberFormat="1" applyFont="1" applyFill="1" applyBorder="1" applyAlignment="1">
      <alignment horizontal="right" vertical="center"/>
    </xf>
    <xf numFmtId="0" fontId="0" fillId="7" borderId="7" xfId="0" applyFill="1" applyBorder="1" applyAlignment="1">
      <alignment horizontal="right" vertical="center"/>
    </xf>
    <xf numFmtId="0" fontId="13" fillId="7" borderId="13" xfId="0" applyFont="1" applyFill="1" applyBorder="1" applyAlignment="1">
      <alignment horizontal="left" vertical="center"/>
    </xf>
    <xf numFmtId="0" fontId="0" fillId="7" borderId="14" xfId="0" applyFill="1" applyBorder="1" applyAlignment="1">
      <alignment horizontal="right" vertical="center"/>
    </xf>
    <xf numFmtId="166" fontId="13" fillId="7" borderId="14" xfId="0" applyNumberFormat="1" applyFont="1" applyFill="1" applyBorder="1" applyAlignment="1">
      <alignment horizontal="right" vertical="center"/>
    </xf>
    <xf numFmtId="167" fontId="13" fillId="7" borderId="14" xfId="0" applyNumberFormat="1" applyFont="1" applyFill="1" applyBorder="1" applyAlignment="1">
      <alignment horizontal="right" vertical="center"/>
    </xf>
    <xf numFmtId="168" fontId="13" fillId="7" borderId="14" xfId="0" applyNumberFormat="1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0" fillId="10" borderId="4" xfId="0" applyFill="1" applyBorder="1"/>
    <xf numFmtId="0" fontId="0" fillId="10" borderId="5" xfId="0" applyFill="1" applyBorder="1"/>
    <xf numFmtId="0" fontId="4" fillId="6" borderId="6" xfId="0" applyFont="1" applyFill="1" applyBorder="1" applyAlignment="1">
      <alignment horizontal="left" vertical="center"/>
    </xf>
    <xf numFmtId="168" fontId="18" fillId="6" borderId="7" xfId="0" applyNumberFormat="1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 vertical="center" wrapText="1"/>
    </xf>
    <xf numFmtId="0" fontId="0" fillId="6" borderId="9" xfId="0" applyFill="1" applyBorder="1"/>
    <xf numFmtId="0" fontId="10" fillId="10" borderId="10" xfId="0" applyFont="1" applyFill="1" applyBorder="1" applyAlignment="1">
      <alignment horizontal="left" vertical="center"/>
    </xf>
    <xf numFmtId="167" fontId="10" fillId="10" borderId="12" xfId="0" applyNumberFormat="1" applyFont="1" applyFill="1" applyBorder="1" applyAlignment="1">
      <alignment horizontal="right" vertical="center"/>
    </xf>
    <xf numFmtId="0" fontId="0" fillId="10" borderId="11" xfId="0" applyFill="1" applyBorder="1"/>
    <xf numFmtId="0" fontId="0" fillId="7" borderId="9" xfId="0" applyFill="1" applyBorder="1"/>
    <xf numFmtId="167" fontId="11" fillId="5" borderId="7" xfId="0" applyNumberFormat="1" applyFont="1" applyFill="1" applyBorder="1" applyAlignment="1">
      <alignment horizontal="right" vertical="center"/>
    </xf>
    <xf numFmtId="167" fontId="4" fillId="6" borderId="7" xfId="0" applyNumberFormat="1" applyFont="1" applyFill="1" applyBorder="1" applyAlignment="1">
      <alignment horizontal="right" vertical="center"/>
    </xf>
    <xf numFmtId="164" fontId="13" fillId="4" borderId="7" xfId="0" applyNumberFormat="1" applyFont="1" applyFill="1" applyBorder="1" applyAlignment="1">
      <alignment horizontal="right" vertical="center"/>
    </xf>
    <xf numFmtId="164" fontId="13" fillId="7" borderId="7" xfId="0" applyNumberFormat="1" applyFont="1" applyFill="1" applyBorder="1" applyAlignment="1">
      <alignment horizontal="right" vertical="center"/>
    </xf>
    <xf numFmtId="164" fontId="10" fillId="8" borderId="12" xfId="0" applyNumberFormat="1" applyFont="1" applyFill="1" applyBorder="1" applyAlignment="1">
      <alignment horizontal="right" vertical="center"/>
    </xf>
    <xf numFmtId="0" fontId="19" fillId="0" borderId="0" xfId="0" applyFont="1"/>
    <xf numFmtId="167" fontId="20" fillId="0" borderId="0" xfId="0" applyNumberFormat="1" applyFont="1" applyAlignment="1">
      <alignment horizontal="right" vertical="center"/>
    </xf>
    <xf numFmtId="168" fontId="12" fillId="4" borderId="7" xfId="0" applyNumberFormat="1" applyFont="1" applyFill="1" applyBorder="1" applyAlignment="1">
      <alignment horizontal="right" vertical="center"/>
    </xf>
    <xf numFmtId="168" fontId="12" fillId="7" borderId="7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right" vertical="center"/>
    </xf>
    <xf numFmtId="166" fontId="11" fillId="5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F6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A7A"/>
      <rgbColor rgb="FF969696"/>
      <rgbColor rgb="FF1F3864"/>
      <rgbColor rgb="FF339966"/>
      <rgbColor rgb="FF003300"/>
      <rgbColor rgb="FF333300"/>
      <rgbColor rgb="FF7B3F00"/>
      <rgbColor rgb="FF993366"/>
      <rgbColor rgb="FF2E5090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8:H24"/>
  <sheetViews>
    <sheetView showGridLines="0" zoomScaleNormal="100" workbookViewId="0">
      <selection activeCell="K16" sqref="K16"/>
    </sheetView>
  </sheetViews>
  <sheetFormatPr defaultColWidth="8.7109375" defaultRowHeight="15" x14ac:dyDescent="0.25"/>
  <cols>
    <col min="1" max="1" width="4" customWidth="1"/>
    <col min="2" max="2" width="20" customWidth="1"/>
    <col min="3" max="3" width="6" customWidth="1"/>
    <col min="4" max="4" width="32" customWidth="1"/>
  </cols>
  <sheetData>
    <row r="8" spans="2:8" ht="60" customHeight="1" x14ac:dyDescent="0.45">
      <c r="B8" s="92" t="s">
        <v>0</v>
      </c>
      <c r="C8" s="93"/>
      <c r="D8" s="93"/>
      <c r="E8" s="93"/>
      <c r="F8" s="93"/>
      <c r="G8" s="93"/>
      <c r="H8" s="93"/>
    </row>
    <row r="9" spans="2:8" x14ac:dyDescent="0.25">
      <c r="B9" s="1"/>
    </row>
    <row r="13" spans="2:8" ht="15.75" x14ac:dyDescent="0.25">
      <c r="C13" s="2" t="s">
        <v>1</v>
      </c>
    </row>
    <row r="14" spans="2:8" ht="21.75" customHeight="1" x14ac:dyDescent="0.25">
      <c r="C14" s="3" t="s">
        <v>2</v>
      </c>
      <c r="D14" s="4" t="s">
        <v>3</v>
      </c>
    </row>
    <row r="16" spans="2:8" ht="21.75" customHeight="1" x14ac:dyDescent="0.25">
      <c r="C16" s="3" t="s">
        <v>4</v>
      </c>
      <c r="D16" s="4" t="s">
        <v>5</v>
      </c>
    </row>
    <row r="18" spans="3:4" ht="21.75" customHeight="1" x14ac:dyDescent="0.25">
      <c r="C18" s="3" t="s">
        <v>6</v>
      </c>
      <c r="D18" s="4" t="s">
        <v>7</v>
      </c>
    </row>
    <row r="20" spans="3:4" ht="21.75" customHeight="1" x14ac:dyDescent="0.25">
      <c r="C20" s="3" t="s">
        <v>8</v>
      </c>
      <c r="D20" s="4" t="s">
        <v>9</v>
      </c>
    </row>
    <row r="22" spans="3:4" ht="21.75" customHeight="1" x14ac:dyDescent="0.25">
      <c r="C22" s="3" t="s">
        <v>10</v>
      </c>
      <c r="D22" s="4" t="s">
        <v>11</v>
      </c>
    </row>
    <row r="24" spans="3:4" ht="21.75" customHeight="1" x14ac:dyDescent="0.25">
      <c r="C24" s="3" t="s">
        <v>12</v>
      </c>
      <c r="D24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B1:V15"/>
  <sheetViews>
    <sheetView showGridLines="0" tabSelected="1" zoomScaleNormal="100" workbookViewId="0">
      <selection activeCell="C8" sqref="C8"/>
    </sheetView>
  </sheetViews>
  <sheetFormatPr defaultColWidth="8.7109375" defaultRowHeight="15" x14ac:dyDescent="0.25"/>
  <cols>
    <col min="1" max="1" width="3" customWidth="1"/>
    <col min="2" max="2" width="24" customWidth="1"/>
    <col min="3" max="3" width="10" customWidth="1"/>
    <col min="4" max="4" width="13" customWidth="1"/>
    <col min="5" max="7" width="14" customWidth="1"/>
    <col min="8" max="11" width="13" customWidth="1"/>
    <col min="12" max="12" width="15" customWidth="1"/>
    <col min="13" max="14" width="13" customWidth="1"/>
    <col min="15" max="15" width="10" customWidth="1"/>
    <col min="16" max="16" width="14" customWidth="1"/>
    <col min="17" max="22" width="13" customWidth="1"/>
  </cols>
  <sheetData>
    <row r="1" spans="2:22" ht="31.5" customHeight="1" x14ac:dyDescent="0.25">
      <c r="B1" s="5" t="s">
        <v>14</v>
      </c>
      <c r="V1" s="6" t="s">
        <v>15</v>
      </c>
    </row>
    <row r="2" spans="2:22" ht="15.75" customHeight="1" x14ac:dyDescent="0.25">
      <c r="B2" s="7" t="s">
        <v>16</v>
      </c>
    </row>
    <row r="3" spans="2:22" ht="13.5" customHeight="1" x14ac:dyDescent="0.25">
      <c r="B3" s="8" t="s">
        <v>17</v>
      </c>
      <c r="C3" s="9"/>
      <c r="D3" s="8" t="s">
        <v>18</v>
      </c>
      <c r="E3" s="9"/>
      <c r="F3" s="9"/>
      <c r="G3" s="9"/>
      <c r="H3" s="8" t="s">
        <v>19</v>
      </c>
      <c r="I3" s="9"/>
      <c r="J3" s="9"/>
      <c r="K3" s="9"/>
      <c r="L3" s="9"/>
      <c r="M3" s="8" t="s">
        <v>20</v>
      </c>
      <c r="N3" s="9"/>
      <c r="O3" s="9"/>
      <c r="P3" s="9"/>
      <c r="Q3" s="9"/>
      <c r="R3" s="8" t="s">
        <v>21</v>
      </c>
      <c r="S3" s="9"/>
      <c r="T3" s="9"/>
    </row>
    <row r="4" spans="2:22" ht="42" customHeight="1" x14ac:dyDescent="0.25"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</row>
    <row r="5" spans="2:22" ht="15.75" customHeight="1" x14ac:dyDescent="0.25">
      <c r="B5" s="11" t="s">
        <v>43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spans="2:22" ht="15.75" customHeight="1" x14ac:dyDescent="0.25">
      <c r="B6" s="14" t="s">
        <v>44</v>
      </c>
      <c r="C6" s="15" t="s">
        <v>45</v>
      </c>
      <c r="D6" s="16">
        <v>0</v>
      </c>
      <c r="E6" s="17">
        <v>0</v>
      </c>
      <c r="F6" s="18">
        <f>'TSM Module'!D12</f>
        <v>0</v>
      </c>
      <c r="G6" s="19">
        <f t="shared" ref="G6:G13" si="0">D6*F6</f>
        <v>0</v>
      </c>
      <c r="H6" s="20">
        <v>0</v>
      </c>
      <c r="I6" s="20">
        <v>0</v>
      </c>
      <c r="J6" s="20">
        <v>0</v>
      </c>
      <c r="K6" s="20">
        <v>0</v>
      </c>
      <c r="L6" s="21">
        <f t="shared" ref="L6:L13" si="1">G6+H6+I6+J6-K6</f>
        <v>0</v>
      </c>
      <c r="M6" s="20">
        <v>0</v>
      </c>
      <c r="N6" s="20">
        <v>0</v>
      </c>
      <c r="O6" s="22">
        <v>0</v>
      </c>
      <c r="P6" s="21">
        <f t="shared" ref="P6:P13" si="2">N6+O6</f>
        <v>0</v>
      </c>
      <c r="Q6" s="20">
        <v>0</v>
      </c>
      <c r="R6" s="20">
        <v>0</v>
      </c>
      <c r="S6" s="16">
        <v>0</v>
      </c>
      <c r="T6" s="20">
        <v>0</v>
      </c>
      <c r="U6" s="20">
        <v>0</v>
      </c>
      <c r="V6" s="16">
        <v>0</v>
      </c>
    </row>
    <row r="7" spans="2:22" ht="15.75" customHeight="1" x14ac:dyDescent="0.25">
      <c r="B7" s="23" t="s">
        <v>46</v>
      </c>
      <c r="C7" s="15" t="s">
        <v>47</v>
      </c>
      <c r="D7" s="16">
        <v>0</v>
      </c>
      <c r="E7" s="17">
        <v>0</v>
      </c>
      <c r="F7" s="24">
        <f>'TSM Module'!D21</f>
        <v>0</v>
      </c>
      <c r="G7" s="25">
        <f t="shared" si="0"/>
        <v>0</v>
      </c>
      <c r="H7" s="20">
        <v>0</v>
      </c>
      <c r="I7" s="20">
        <v>0</v>
      </c>
      <c r="J7" s="20">
        <v>0</v>
      </c>
      <c r="K7" s="20">
        <v>0</v>
      </c>
      <c r="L7" s="26">
        <f t="shared" si="1"/>
        <v>0</v>
      </c>
      <c r="M7" s="20">
        <v>0</v>
      </c>
      <c r="N7" s="20">
        <v>0</v>
      </c>
      <c r="O7" s="22">
        <v>0</v>
      </c>
      <c r="P7" s="26">
        <f t="shared" si="2"/>
        <v>0</v>
      </c>
      <c r="Q7" s="20">
        <v>0</v>
      </c>
      <c r="R7" s="20">
        <v>0</v>
      </c>
      <c r="S7" s="16">
        <v>0</v>
      </c>
      <c r="T7" s="20">
        <v>0</v>
      </c>
      <c r="U7" s="20">
        <v>0</v>
      </c>
      <c r="V7" s="16">
        <v>0</v>
      </c>
    </row>
    <row r="8" spans="2:22" ht="15.75" customHeight="1" x14ac:dyDescent="0.25">
      <c r="B8" s="27" t="s">
        <v>48</v>
      </c>
      <c r="C8" s="15" t="s">
        <v>49</v>
      </c>
      <c r="D8" s="16">
        <v>0</v>
      </c>
      <c r="E8" s="17">
        <v>0</v>
      </c>
      <c r="F8" s="18">
        <f>'TSM Module'!D30</f>
        <v>0</v>
      </c>
      <c r="G8" s="19">
        <f t="shared" si="0"/>
        <v>0</v>
      </c>
      <c r="H8" s="20">
        <v>0</v>
      </c>
      <c r="I8" s="20">
        <v>0</v>
      </c>
      <c r="J8" s="20">
        <v>0</v>
      </c>
      <c r="K8" s="20">
        <v>0</v>
      </c>
      <c r="L8" s="21">
        <f t="shared" si="1"/>
        <v>0</v>
      </c>
      <c r="M8" s="20">
        <v>0</v>
      </c>
      <c r="N8" s="20">
        <v>0</v>
      </c>
      <c r="O8" s="22">
        <v>0</v>
      </c>
      <c r="P8" s="21">
        <f t="shared" si="2"/>
        <v>0</v>
      </c>
      <c r="Q8" s="20">
        <v>0</v>
      </c>
      <c r="R8" s="20">
        <v>0</v>
      </c>
      <c r="S8" s="16">
        <v>0</v>
      </c>
      <c r="T8" s="20">
        <v>0</v>
      </c>
      <c r="U8" s="20">
        <v>0</v>
      </c>
      <c r="V8" s="16">
        <v>0</v>
      </c>
    </row>
    <row r="9" spans="2:22" ht="15.75" customHeight="1" x14ac:dyDescent="0.25">
      <c r="B9" s="23" t="s">
        <v>50</v>
      </c>
      <c r="C9" s="15" t="s">
        <v>51</v>
      </c>
      <c r="D9" s="16">
        <v>0</v>
      </c>
      <c r="E9" s="17">
        <v>0</v>
      </c>
      <c r="F9" s="24">
        <f>'TSM Module'!D39</f>
        <v>0</v>
      </c>
      <c r="G9" s="25">
        <f t="shared" si="0"/>
        <v>0</v>
      </c>
      <c r="H9" s="20">
        <v>0</v>
      </c>
      <c r="I9" s="20">
        <v>0</v>
      </c>
      <c r="J9" s="20">
        <v>0</v>
      </c>
      <c r="K9" s="20">
        <v>0</v>
      </c>
      <c r="L9" s="26">
        <f t="shared" si="1"/>
        <v>0</v>
      </c>
      <c r="M9" s="20">
        <v>0</v>
      </c>
      <c r="N9" s="20">
        <v>0</v>
      </c>
      <c r="O9" s="22">
        <v>0</v>
      </c>
      <c r="P9" s="26">
        <f t="shared" si="2"/>
        <v>0</v>
      </c>
      <c r="Q9" s="20">
        <v>0</v>
      </c>
      <c r="R9" s="20">
        <v>0</v>
      </c>
      <c r="S9" s="16">
        <v>0</v>
      </c>
      <c r="T9" s="20">
        <v>0</v>
      </c>
      <c r="U9" s="20">
        <v>0</v>
      </c>
      <c r="V9" s="16">
        <v>0</v>
      </c>
    </row>
    <row r="10" spans="2:22" ht="15.75" customHeight="1" x14ac:dyDescent="0.25">
      <c r="B10" s="27" t="s">
        <v>52</v>
      </c>
      <c r="C10" s="15" t="s">
        <v>53</v>
      </c>
      <c r="D10" s="16">
        <v>0</v>
      </c>
      <c r="E10" s="17">
        <v>0</v>
      </c>
      <c r="F10" s="18">
        <f>'TSM Module'!D48</f>
        <v>0</v>
      </c>
      <c r="G10" s="19">
        <f t="shared" si="0"/>
        <v>0</v>
      </c>
      <c r="H10" s="20">
        <v>0</v>
      </c>
      <c r="I10" s="20">
        <v>0</v>
      </c>
      <c r="J10" s="20">
        <v>0</v>
      </c>
      <c r="K10" s="20">
        <v>0</v>
      </c>
      <c r="L10" s="21">
        <f t="shared" si="1"/>
        <v>0</v>
      </c>
      <c r="M10" s="20">
        <v>0</v>
      </c>
      <c r="N10" s="20">
        <v>0</v>
      </c>
      <c r="O10" s="22">
        <v>0</v>
      </c>
      <c r="P10" s="21">
        <f t="shared" si="2"/>
        <v>0</v>
      </c>
      <c r="Q10" s="20">
        <v>0</v>
      </c>
      <c r="R10" s="20">
        <v>0</v>
      </c>
      <c r="S10" s="16">
        <v>0</v>
      </c>
      <c r="T10" s="20">
        <v>0</v>
      </c>
      <c r="U10" s="20">
        <v>0</v>
      </c>
      <c r="V10" s="16">
        <v>0</v>
      </c>
    </row>
    <row r="11" spans="2:22" ht="15.75" customHeight="1" x14ac:dyDescent="0.25">
      <c r="B11" s="23" t="s">
        <v>54</v>
      </c>
      <c r="C11" s="15" t="s">
        <v>55</v>
      </c>
      <c r="D11" s="16">
        <v>0</v>
      </c>
      <c r="E11" s="17">
        <v>0</v>
      </c>
      <c r="F11" s="24">
        <f>'TSM Module'!D57</f>
        <v>0</v>
      </c>
      <c r="G11" s="25">
        <f t="shared" si="0"/>
        <v>0</v>
      </c>
      <c r="H11" s="20">
        <v>0</v>
      </c>
      <c r="I11" s="20">
        <v>0</v>
      </c>
      <c r="J11" s="20">
        <v>0</v>
      </c>
      <c r="K11" s="20">
        <v>0</v>
      </c>
      <c r="L11" s="26">
        <f t="shared" si="1"/>
        <v>0</v>
      </c>
      <c r="M11" s="20">
        <v>0</v>
      </c>
      <c r="N11" s="20">
        <v>0</v>
      </c>
      <c r="O11" s="22">
        <v>0</v>
      </c>
      <c r="P11" s="26">
        <f t="shared" si="2"/>
        <v>0</v>
      </c>
      <c r="Q11" s="20">
        <v>0</v>
      </c>
      <c r="R11" s="20">
        <v>0</v>
      </c>
      <c r="S11" s="16">
        <v>0</v>
      </c>
      <c r="T11" s="20">
        <v>0</v>
      </c>
      <c r="U11" s="20">
        <v>0</v>
      </c>
      <c r="V11" s="16">
        <v>0</v>
      </c>
    </row>
    <row r="12" spans="2:22" ht="15.75" customHeight="1" x14ac:dyDescent="0.25">
      <c r="B12" s="27" t="s">
        <v>56</v>
      </c>
      <c r="C12" s="15" t="s">
        <v>57</v>
      </c>
      <c r="D12" s="16">
        <v>0</v>
      </c>
      <c r="E12" s="17">
        <v>0</v>
      </c>
      <c r="F12" s="18">
        <f>'TSM Module'!D66</f>
        <v>0</v>
      </c>
      <c r="G12" s="19">
        <f t="shared" si="0"/>
        <v>0</v>
      </c>
      <c r="H12" s="20">
        <v>0</v>
      </c>
      <c r="I12" s="20">
        <v>0</v>
      </c>
      <c r="J12" s="20">
        <v>0</v>
      </c>
      <c r="K12" s="20">
        <v>0</v>
      </c>
      <c r="L12" s="21">
        <f t="shared" si="1"/>
        <v>0</v>
      </c>
      <c r="M12" s="20">
        <v>0</v>
      </c>
      <c r="N12" s="20">
        <v>0</v>
      </c>
      <c r="O12" s="22">
        <v>0</v>
      </c>
      <c r="P12" s="21">
        <f t="shared" si="2"/>
        <v>0</v>
      </c>
      <c r="Q12" s="20">
        <v>0</v>
      </c>
      <c r="R12" s="20">
        <v>0</v>
      </c>
      <c r="S12" s="16">
        <v>0</v>
      </c>
      <c r="T12" s="20">
        <v>0</v>
      </c>
      <c r="U12" s="20">
        <v>0</v>
      </c>
      <c r="V12" s="16">
        <v>0</v>
      </c>
    </row>
    <row r="13" spans="2:22" ht="15.75" customHeight="1" x14ac:dyDescent="0.25">
      <c r="B13" s="23" t="s">
        <v>58</v>
      </c>
      <c r="C13" s="15" t="s">
        <v>59</v>
      </c>
      <c r="D13" s="16">
        <v>0</v>
      </c>
      <c r="E13" s="17">
        <v>0</v>
      </c>
      <c r="F13" s="24">
        <f>'TSM Module'!D75</f>
        <v>0</v>
      </c>
      <c r="G13" s="25">
        <f t="shared" si="0"/>
        <v>0</v>
      </c>
      <c r="H13" s="20">
        <v>0</v>
      </c>
      <c r="I13" s="20">
        <v>0</v>
      </c>
      <c r="J13" s="20">
        <v>0</v>
      </c>
      <c r="K13" s="20">
        <v>0</v>
      </c>
      <c r="L13" s="26">
        <f t="shared" si="1"/>
        <v>0</v>
      </c>
      <c r="M13" s="20">
        <v>0</v>
      </c>
      <c r="N13" s="20">
        <v>0</v>
      </c>
      <c r="O13" s="22">
        <v>0</v>
      </c>
      <c r="P13" s="26">
        <f t="shared" si="2"/>
        <v>0</v>
      </c>
      <c r="Q13" s="20">
        <v>0</v>
      </c>
      <c r="R13" s="20">
        <v>0</v>
      </c>
      <c r="S13" s="16">
        <v>0</v>
      </c>
      <c r="T13" s="20">
        <v>0</v>
      </c>
      <c r="U13" s="20">
        <v>0</v>
      </c>
      <c r="V13" s="16">
        <v>0</v>
      </c>
    </row>
    <row r="15" spans="2:22" ht="15.75" customHeight="1" x14ac:dyDescent="0.25">
      <c r="B15" s="28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090"/>
  </sheetPr>
  <dimension ref="B1:J76"/>
  <sheetViews>
    <sheetView showGridLines="0" zoomScaleNormal="100" workbookViewId="0">
      <selection activeCell="B3" sqref="B3"/>
    </sheetView>
  </sheetViews>
  <sheetFormatPr defaultColWidth="8.7109375" defaultRowHeight="15" x14ac:dyDescent="0.25"/>
  <cols>
    <col min="1" max="1" width="3" customWidth="1"/>
    <col min="2" max="2" width="26" customWidth="1"/>
    <col min="3" max="3" width="18" customWidth="1"/>
    <col min="4" max="4" width="16" customWidth="1"/>
    <col min="5" max="6" width="14" customWidth="1"/>
    <col min="7" max="7" width="12" customWidth="1"/>
    <col min="8" max="10" width="16" customWidth="1"/>
  </cols>
  <sheetData>
    <row r="1" spans="2:10" ht="31.5" customHeight="1" x14ac:dyDescent="0.25">
      <c r="B1" s="5" t="s">
        <v>61</v>
      </c>
      <c r="J1" s="6" t="s">
        <v>15</v>
      </c>
    </row>
    <row r="2" spans="2:10" ht="15.75" customHeight="1" x14ac:dyDescent="0.25">
      <c r="B2" s="7"/>
    </row>
    <row r="3" spans="2:10" ht="13.5" customHeight="1" x14ac:dyDescent="0.25">
      <c r="B3" s="29"/>
    </row>
    <row r="4" spans="2:10" ht="42" customHeight="1" x14ac:dyDescent="0.25"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  <c r="J4" s="10" t="s">
        <v>70</v>
      </c>
    </row>
    <row r="5" spans="2:10" ht="15.75" customHeight="1" x14ac:dyDescent="0.25">
      <c r="B5" s="11" t="s">
        <v>71</v>
      </c>
      <c r="C5" s="12"/>
      <c r="D5" s="12"/>
      <c r="E5" s="12"/>
      <c r="F5" s="12"/>
      <c r="G5" s="12"/>
      <c r="H5" s="12"/>
      <c r="I5" s="12"/>
      <c r="J5" s="13"/>
    </row>
    <row r="6" spans="2:10" ht="15.75" customHeight="1" x14ac:dyDescent="0.25">
      <c r="B6" s="14" t="s">
        <v>72</v>
      </c>
      <c r="C6" s="30"/>
      <c r="D6" s="18">
        <f>'Comps Inputs'!E6</f>
        <v>0</v>
      </c>
      <c r="E6" s="30"/>
      <c r="F6" s="30"/>
      <c r="G6" s="30"/>
      <c r="H6" s="30"/>
      <c r="I6" s="30"/>
      <c r="J6" s="30"/>
    </row>
    <row r="7" spans="2:10" ht="15.75" customHeight="1" x14ac:dyDescent="0.25">
      <c r="B7" s="23" t="s">
        <v>73</v>
      </c>
      <c r="C7" s="31" t="s">
        <v>74</v>
      </c>
      <c r="D7" s="17">
        <v>0</v>
      </c>
      <c r="E7" s="16">
        <v>0</v>
      </c>
      <c r="F7" s="32">
        <f>'Comps Inputs'!D6</f>
        <v>0</v>
      </c>
      <c r="G7" s="33" t="str">
        <f>IF(F7&gt;E7,"Yes","No")</f>
        <v>No</v>
      </c>
      <c r="H7" s="25">
        <f>IFERROR(IF(F7&gt;E7,D7*E7/1000,0),0)</f>
        <v>0</v>
      </c>
      <c r="I7" s="34">
        <f>IFERROR(H7/(F7/1000),0)</f>
        <v>0</v>
      </c>
      <c r="J7" s="34">
        <f>IFERROR(IF(F7&gt;E7,D7-I7,0),0)</f>
        <v>0</v>
      </c>
    </row>
    <row r="8" spans="2:10" ht="15.75" customHeight="1" x14ac:dyDescent="0.25">
      <c r="B8" s="27" t="s">
        <v>75</v>
      </c>
      <c r="C8" s="35" t="s">
        <v>76</v>
      </c>
      <c r="D8" s="17">
        <v>0</v>
      </c>
      <c r="E8" s="16">
        <v>0</v>
      </c>
      <c r="F8" s="36">
        <f>'Comps Inputs'!D6</f>
        <v>0</v>
      </c>
      <c r="G8" s="37" t="str">
        <f>IF(F8&gt;E8,"Yes","No")</f>
        <v>No</v>
      </c>
      <c r="H8" s="19">
        <f>IFERROR(IF(F8&gt;E8,D8*E8/1000,0),0)</f>
        <v>0</v>
      </c>
      <c r="I8" s="38">
        <f>IFERROR(H8/(F8/1000),0)</f>
        <v>0</v>
      </c>
      <c r="J8" s="38">
        <f>IFERROR(IF(F8&gt;E8,D8-I8,0),0)</f>
        <v>0</v>
      </c>
    </row>
    <row r="9" spans="2:10" ht="15.75" customHeight="1" x14ac:dyDescent="0.25">
      <c r="B9" s="23" t="s">
        <v>77</v>
      </c>
      <c r="C9" s="31" t="s">
        <v>78</v>
      </c>
      <c r="D9" s="17">
        <v>0</v>
      </c>
      <c r="E9" s="16">
        <v>0</v>
      </c>
      <c r="F9" s="32">
        <f>'Comps Inputs'!D6</f>
        <v>0</v>
      </c>
      <c r="G9" s="33" t="str">
        <f>IF(F9&gt;E9,"Yes","No")</f>
        <v>No</v>
      </c>
      <c r="H9" s="25">
        <f>IFERROR(IF(F9&gt;E9,D9*E9/1000,0),0)</f>
        <v>0</v>
      </c>
      <c r="I9" s="34">
        <f>IFERROR(H9/(F9/1000),0)</f>
        <v>0</v>
      </c>
      <c r="J9" s="34">
        <f>IFERROR(IF(F9&gt;E9,D9-I9,0),0)</f>
        <v>0</v>
      </c>
    </row>
    <row r="10" spans="2:10" ht="15.75" customHeight="1" x14ac:dyDescent="0.25">
      <c r="B10" s="27" t="s">
        <v>79</v>
      </c>
      <c r="C10" s="35" t="s">
        <v>80</v>
      </c>
      <c r="D10" s="17">
        <v>0</v>
      </c>
      <c r="E10" s="16">
        <v>0</v>
      </c>
      <c r="F10" s="36">
        <f>'Comps Inputs'!D6</f>
        <v>0</v>
      </c>
      <c r="G10" s="39" t="s">
        <v>81</v>
      </c>
      <c r="H10" s="39" t="s">
        <v>81</v>
      </c>
      <c r="I10" s="38">
        <f>IFERROR(D10*F10/1000,0)</f>
        <v>0</v>
      </c>
      <c r="J10" s="38">
        <f>IFERROR(D10-I10,0)</f>
        <v>0</v>
      </c>
    </row>
    <row r="11" spans="2:10" ht="3.75" customHeight="1" x14ac:dyDescent="0.25"/>
    <row r="12" spans="2:10" ht="18" customHeight="1" x14ac:dyDescent="0.25">
      <c r="B12" s="40" t="s">
        <v>82</v>
      </c>
      <c r="C12" s="41"/>
      <c r="D12" s="42">
        <f>IFERROR(D6+J7+J8+J9+J10,D6)</f>
        <v>0</v>
      </c>
      <c r="E12" s="41"/>
      <c r="F12" s="41"/>
      <c r="G12" s="41"/>
      <c r="H12" s="41"/>
      <c r="I12" s="41"/>
      <c r="J12" s="42">
        <f>IFERROR(J7+J8+J9+J10,0)</f>
        <v>0</v>
      </c>
    </row>
    <row r="13" spans="2:10" ht="7.5" customHeight="1" x14ac:dyDescent="0.25"/>
    <row r="14" spans="2:10" ht="15.75" customHeight="1" x14ac:dyDescent="0.25">
      <c r="B14" s="11" t="s">
        <v>83</v>
      </c>
      <c r="C14" s="12"/>
      <c r="D14" s="12"/>
      <c r="E14" s="12"/>
      <c r="F14" s="12"/>
      <c r="G14" s="12"/>
      <c r="H14" s="12"/>
      <c r="I14" s="12"/>
      <c r="J14" s="13"/>
    </row>
    <row r="15" spans="2:10" ht="15.75" customHeight="1" x14ac:dyDescent="0.25">
      <c r="B15" s="14" t="s">
        <v>72</v>
      </c>
      <c r="C15" s="30"/>
      <c r="D15" s="18">
        <f>'Comps Inputs'!E7</f>
        <v>0</v>
      </c>
      <c r="E15" s="30"/>
      <c r="F15" s="30"/>
      <c r="G15" s="30"/>
      <c r="H15" s="30"/>
      <c r="I15" s="30"/>
      <c r="J15" s="30"/>
    </row>
    <row r="16" spans="2:10" ht="15.75" customHeight="1" x14ac:dyDescent="0.25">
      <c r="B16" s="23" t="s">
        <v>73</v>
      </c>
      <c r="C16" s="31" t="s">
        <v>74</v>
      </c>
      <c r="D16" s="17">
        <v>0</v>
      </c>
      <c r="E16" s="16">
        <v>0</v>
      </c>
      <c r="F16" s="32">
        <f>'Comps Inputs'!D7</f>
        <v>0</v>
      </c>
      <c r="G16" s="33" t="str">
        <f>IF(F16&gt;E16,"Yes","No")</f>
        <v>No</v>
      </c>
      <c r="H16" s="25">
        <f>IFERROR(IF(F16&gt;E16,D16*E16/1000,0),0)</f>
        <v>0</v>
      </c>
      <c r="I16" s="34">
        <f>IFERROR(H16/(F16/1000),0)</f>
        <v>0</v>
      </c>
      <c r="J16" s="34">
        <f>IFERROR(IF(F16&gt;E16,D16-I16,0),0)</f>
        <v>0</v>
      </c>
    </row>
    <row r="17" spans="2:10" ht="15.75" customHeight="1" x14ac:dyDescent="0.25">
      <c r="B17" s="27" t="s">
        <v>75</v>
      </c>
      <c r="C17" s="35" t="s">
        <v>76</v>
      </c>
      <c r="D17" s="17">
        <v>0</v>
      </c>
      <c r="E17" s="16">
        <v>0</v>
      </c>
      <c r="F17" s="36">
        <f>'Comps Inputs'!D7</f>
        <v>0</v>
      </c>
      <c r="G17" s="37" t="str">
        <f>IF(F17&gt;E17,"Yes","No")</f>
        <v>No</v>
      </c>
      <c r="H17" s="19">
        <f>IFERROR(IF(F17&gt;E17,D17*E17/1000,0),0)</f>
        <v>0</v>
      </c>
      <c r="I17" s="38">
        <f>IFERROR(H17/(F17/1000),0)</f>
        <v>0</v>
      </c>
      <c r="J17" s="38">
        <f>IFERROR(IF(F17&gt;E17,D17-I17,0),0)</f>
        <v>0</v>
      </c>
    </row>
    <row r="18" spans="2:10" ht="15.75" customHeight="1" x14ac:dyDescent="0.25">
      <c r="B18" s="23" t="s">
        <v>77</v>
      </c>
      <c r="C18" s="31" t="s">
        <v>78</v>
      </c>
      <c r="D18" s="17">
        <v>0</v>
      </c>
      <c r="E18" s="16">
        <v>0</v>
      </c>
      <c r="F18" s="32">
        <f>'Comps Inputs'!D7</f>
        <v>0</v>
      </c>
      <c r="G18" s="33" t="str">
        <f>IF(F18&gt;E18,"Yes","No")</f>
        <v>No</v>
      </c>
      <c r="H18" s="25">
        <f>IFERROR(IF(F18&gt;E18,D18*E18/1000,0),0)</f>
        <v>0</v>
      </c>
      <c r="I18" s="34">
        <f>IFERROR(H18/(F18/1000),0)</f>
        <v>0</v>
      </c>
      <c r="J18" s="34">
        <f>IFERROR(IF(F18&gt;E18,D18-I18,0),0)</f>
        <v>0</v>
      </c>
    </row>
    <row r="19" spans="2:10" ht="15.75" customHeight="1" x14ac:dyDescent="0.25">
      <c r="B19" s="27" t="s">
        <v>79</v>
      </c>
      <c r="C19" s="35" t="s">
        <v>80</v>
      </c>
      <c r="D19" s="17">
        <v>0</v>
      </c>
      <c r="E19" s="16">
        <v>0</v>
      </c>
      <c r="F19" s="36">
        <f>'Comps Inputs'!D7</f>
        <v>0</v>
      </c>
      <c r="G19" s="39" t="s">
        <v>81</v>
      </c>
      <c r="H19" s="39" t="s">
        <v>81</v>
      </c>
      <c r="I19" s="38">
        <f>IFERROR(D19*F19/1000,0)</f>
        <v>0</v>
      </c>
      <c r="J19" s="38">
        <f>IFERROR(D19-I19,0)</f>
        <v>0</v>
      </c>
    </row>
    <row r="20" spans="2:10" ht="3.75" customHeight="1" x14ac:dyDescent="0.25"/>
    <row r="21" spans="2:10" ht="18" customHeight="1" x14ac:dyDescent="0.25">
      <c r="B21" s="40" t="s">
        <v>84</v>
      </c>
      <c r="C21" s="41"/>
      <c r="D21" s="42">
        <f>IFERROR(D15+J16+J17+J18+J19,D15)</f>
        <v>0</v>
      </c>
      <c r="E21" s="41"/>
      <c r="F21" s="41"/>
      <c r="G21" s="41"/>
      <c r="H21" s="41"/>
      <c r="I21" s="41"/>
      <c r="J21" s="42">
        <f>IFERROR(J16+J17+J18+J19,0)</f>
        <v>0</v>
      </c>
    </row>
    <row r="22" spans="2:10" ht="7.5" customHeight="1" x14ac:dyDescent="0.25"/>
    <row r="23" spans="2:10" ht="15.75" customHeight="1" x14ac:dyDescent="0.25">
      <c r="B23" s="11" t="s">
        <v>85</v>
      </c>
      <c r="C23" s="12"/>
      <c r="D23" s="12"/>
      <c r="E23" s="12"/>
      <c r="F23" s="12"/>
      <c r="G23" s="12"/>
      <c r="H23" s="12"/>
      <c r="I23" s="12"/>
      <c r="J23" s="13"/>
    </row>
    <row r="24" spans="2:10" ht="15.75" customHeight="1" x14ac:dyDescent="0.25">
      <c r="B24" s="14" t="s">
        <v>72</v>
      </c>
      <c r="C24" s="30"/>
      <c r="D24" s="18">
        <f>'Comps Inputs'!E8</f>
        <v>0</v>
      </c>
      <c r="E24" s="30"/>
      <c r="F24" s="30"/>
      <c r="G24" s="30"/>
      <c r="H24" s="30"/>
      <c r="I24" s="30"/>
      <c r="J24" s="30"/>
    </row>
    <row r="25" spans="2:10" ht="15.75" customHeight="1" x14ac:dyDescent="0.25">
      <c r="B25" s="23" t="s">
        <v>73</v>
      </c>
      <c r="C25" s="31" t="s">
        <v>74</v>
      </c>
      <c r="D25" s="17">
        <v>0</v>
      </c>
      <c r="E25" s="16">
        <v>0</v>
      </c>
      <c r="F25" s="32">
        <f>'Comps Inputs'!D8</f>
        <v>0</v>
      </c>
      <c r="G25" s="33" t="str">
        <f>IF(F25&gt;E25,"Yes","No")</f>
        <v>No</v>
      </c>
      <c r="H25" s="25">
        <f>IFERROR(IF(F25&gt;E25,D25*E25/1000,0),0)</f>
        <v>0</v>
      </c>
      <c r="I25" s="34">
        <f>IFERROR(H25/(F25/1000),0)</f>
        <v>0</v>
      </c>
      <c r="J25" s="34">
        <f>IFERROR(IF(F25&gt;E25,D25-I25,0),0)</f>
        <v>0</v>
      </c>
    </row>
    <row r="26" spans="2:10" ht="15.75" customHeight="1" x14ac:dyDescent="0.25">
      <c r="B26" s="27" t="s">
        <v>75</v>
      </c>
      <c r="C26" s="35" t="s">
        <v>76</v>
      </c>
      <c r="D26" s="17">
        <v>0</v>
      </c>
      <c r="E26" s="16">
        <v>0</v>
      </c>
      <c r="F26" s="36">
        <f>'Comps Inputs'!D8</f>
        <v>0</v>
      </c>
      <c r="G26" s="37" t="str">
        <f>IF(F26&gt;E26,"Yes","No")</f>
        <v>No</v>
      </c>
      <c r="H26" s="19">
        <f>IFERROR(IF(F26&gt;E26,D26*E26/1000,0),0)</f>
        <v>0</v>
      </c>
      <c r="I26" s="38">
        <f>IFERROR(H26/(F26/1000),0)</f>
        <v>0</v>
      </c>
      <c r="J26" s="38">
        <f>IFERROR(IF(F26&gt;E26,D26-I26,0),0)</f>
        <v>0</v>
      </c>
    </row>
    <row r="27" spans="2:10" ht="15.75" customHeight="1" x14ac:dyDescent="0.25">
      <c r="B27" s="23" t="s">
        <v>77</v>
      </c>
      <c r="C27" s="31" t="s">
        <v>78</v>
      </c>
      <c r="D27" s="17">
        <v>0</v>
      </c>
      <c r="E27" s="16">
        <v>0</v>
      </c>
      <c r="F27" s="32">
        <f>'Comps Inputs'!D8</f>
        <v>0</v>
      </c>
      <c r="G27" s="33" t="str">
        <f>IF(F27&gt;E27,"Yes","No")</f>
        <v>No</v>
      </c>
      <c r="H27" s="25">
        <f>IFERROR(IF(F27&gt;E27,D27*E27/1000,0),0)</f>
        <v>0</v>
      </c>
      <c r="I27" s="34">
        <f>IFERROR(H27/(F27/1000),0)</f>
        <v>0</v>
      </c>
      <c r="J27" s="34">
        <f>IFERROR(IF(F27&gt;E27,D27-I27,0),0)</f>
        <v>0</v>
      </c>
    </row>
    <row r="28" spans="2:10" ht="15.75" customHeight="1" x14ac:dyDescent="0.25">
      <c r="B28" s="27" t="s">
        <v>79</v>
      </c>
      <c r="C28" s="35" t="s">
        <v>80</v>
      </c>
      <c r="D28" s="17">
        <v>0</v>
      </c>
      <c r="E28" s="16">
        <v>0</v>
      </c>
      <c r="F28" s="36">
        <f>'Comps Inputs'!D8</f>
        <v>0</v>
      </c>
      <c r="G28" s="39" t="s">
        <v>81</v>
      </c>
      <c r="H28" s="39" t="s">
        <v>81</v>
      </c>
      <c r="I28" s="38">
        <f>IFERROR(D28*F28/1000,0)</f>
        <v>0</v>
      </c>
      <c r="J28" s="38">
        <f>IFERROR(D28-I28,0)</f>
        <v>0</v>
      </c>
    </row>
    <row r="29" spans="2:10" ht="3.75" customHeight="1" x14ac:dyDescent="0.25"/>
    <row r="30" spans="2:10" ht="18" customHeight="1" x14ac:dyDescent="0.25">
      <c r="B30" s="40" t="s">
        <v>86</v>
      </c>
      <c r="C30" s="41"/>
      <c r="D30" s="42">
        <f>IFERROR(D24+J25+J26+J27+J28,D24)</f>
        <v>0</v>
      </c>
      <c r="E30" s="41"/>
      <c r="F30" s="41"/>
      <c r="G30" s="41"/>
      <c r="H30" s="41"/>
      <c r="I30" s="41"/>
      <c r="J30" s="42">
        <f>IFERROR(J25+J26+J27+J28,0)</f>
        <v>0</v>
      </c>
    </row>
    <row r="31" spans="2:10" ht="7.5" customHeight="1" x14ac:dyDescent="0.25"/>
    <row r="32" spans="2:10" ht="15.75" customHeight="1" x14ac:dyDescent="0.25">
      <c r="B32" s="11" t="s">
        <v>87</v>
      </c>
      <c r="C32" s="12"/>
      <c r="D32" s="12"/>
      <c r="E32" s="12"/>
      <c r="F32" s="12"/>
      <c r="G32" s="12"/>
      <c r="H32" s="12"/>
      <c r="I32" s="12"/>
      <c r="J32" s="13"/>
    </row>
    <row r="33" spans="2:10" ht="15.75" customHeight="1" x14ac:dyDescent="0.25">
      <c r="B33" s="14" t="s">
        <v>72</v>
      </c>
      <c r="C33" s="30"/>
      <c r="D33" s="18">
        <f>'Comps Inputs'!E9</f>
        <v>0</v>
      </c>
      <c r="E33" s="30"/>
      <c r="F33" s="30"/>
      <c r="G33" s="30"/>
      <c r="H33" s="30"/>
      <c r="I33" s="30"/>
      <c r="J33" s="30"/>
    </row>
    <row r="34" spans="2:10" ht="15.75" customHeight="1" x14ac:dyDescent="0.25">
      <c r="B34" s="23" t="s">
        <v>73</v>
      </c>
      <c r="C34" s="31" t="s">
        <v>74</v>
      </c>
      <c r="D34" s="17">
        <v>0</v>
      </c>
      <c r="E34" s="16">
        <v>0</v>
      </c>
      <c r="F34" s="32">
        <f>'Comps Inputs'!D9</f>
        <v>0</v>
      </c>
      <c r="G34" s="33" t="str">
        <f>IF(F34&gt;E34,"Yes","No")</f>
        <v>No</v>
      </c>
      <c r="H34" s="25">
        <f>IFERROR(IF(F34&gt;E34,D34*E34/1000,0),0)</f>
        <v>0</v>
      </c>
      <c r="I34" s="34">
        <f>IFERROR(H34/(F34/1000),0)</f>
        <v>0</v>
      </c>
      <c r="J34" s="34">
        <f>IFERROR(IF(F34&gt;E34,D34-I34,0),0)</f>
        <v>0</v>
      </c>
    </row>
    <row r="35" spans="2:10" ht="15.75" customHeight="1" x14ac:dyDescent="0.25">
      <c r="B35" s="27" t="s">
        <v>75</v>
      </c>
      <c r="C35" s="35" t="s">
        <v>76</v>
      </c>
      <c r="D35" s="17">
        <v>0</v>
      </c>
      <c r="E35" s="16">
        <v>0</v>
      </c>
      <c r="F35" s="36">
        <f>'Comps Inputs'!D9</f>
        <v>0</v>
      </c>
      <c r="G35" s="37" t="str">
        <f>IF(F35&gt;E35,"Yes","No")</f>
        <v>No</v>
      </c>
      <c r="H35" s="19">
        <f>IFERROR(IF(F35&gt;E35,D35*E35/1000,0),0)</f>
        <v>0</v>
      </c>
      <c r="I35" s="38">
        <f>IFERROR(H35/(F35/1000),0)</f>
        <v>0</v>
      </c>
      <c r="J35" s="38">
        <f>IFERROR(IF(F35&gt;E35,D35-I35,0),0)</f>
        <v>0</v>
      </c>
    </row>
    <row r="36" spans="2:10" ht="15.75" customHeight="1" x14ac:dyDescent="0.25">
      <c r="B36" s="23" t="s">
        <v>77</v>
      </c>
      <c r="C36" s="31" t="s">
        <v>78</v>
      </c>
      <c r="D36" s="17">
        <v>0</v>
      </c>
      <c r="E36" s="16">
        <v>0</v>
      </c>
      <c r="F36" s="32">
        <f>'Comps Inputs'!D9</f>
        <v>0</v>
      </c>
      <c r="G36" s="33" t="str">
        <f>IF(F36&gt;E36,"Yes","No")</f>
        <v>No</v>
      </c>
      <c r="H36" s="25">
        <f>IFERROR(IF(F36&gt;E36,D36*E36/1000,0),0)</f>
        <v>0</v>
      </c>
      <c r="I36" s="34">
        <f>IFERROR(H36/(F36/1000),0)</f>
        <v>0</v>
      </c>
      <c r="J36" s="34">
        <f>IFERROR(IF(F36&gt;E36,D36-I36,0),0)</f>
        <v>0</v>
      </c>
    </row>
    <row r="37" spans="2:10" ht="15.75" customHeight="1" x14ac:dyDescent="0.25">
      <c r="B37" s="27" t="s">
        <v>79</v>
      </c>
      <c r="C37" s="35" t="s">
        <v>80</v>
      </c>
      <c r="D37" s="17">
        <v>0</v>
      </c>
      <c r="E37" s="16">
        <v>0</v>
      </c>
      <c r="F37" s="36">
        <f>'Comps Inputs'!D9</f>
        <v>0</v>
      </c>
      <c r="G37" s="39" t="s">
        <v>81</v>
      </c>
      <c r="H37" s="39" t="s">
        <v>81</v>
      </c>
      <c r="I37" s="38">
        <f>IFERROR(D37*F37/1000,0)</f>
        <v>0</v>
      </c>
      <c r="J37" s="38">
        <f>IFERROR(D37-I37,0)</f>
        <v>0</v>
      </c>
    </row>
    <row r="38" spans="2:10" ht="3.75" customHeight="1" x14ac:dyDescent="0.25"/>
    <row r="39" spans="2:10" ht="18" customHeight="1" x14ac:dyDescent="0.25">
      <c r="B39" s="40" t="s">
        <v>88</v>
      </c>
      <c r="C39" s="41"/>
      <c r="D39" s="42">
        <f>IFERROR(D33+J34+J35+J36+J37,D33)</f>
        <v>0</v>
      </c>
      <c r="E39" s="41"/>
      <c r="F39" s="41"/>
      <c r="G39" s="41"/>
      <c r="H39" s="41"/>
      <c r="I39" s="41"/>
      <c r="J39" s="42">
        <f>IFERROR(J34+J35+J36+J37,0)</f>
        <v>0</v>
      </c>
    </row>
    <row r="40" spans="2:10" ht="7.5" customHeight="1" x14ac:dyDescent="0.25"/>
    <row r="41" spans="2:10" ht="15.75" customHeight="1" x14ac:dyDescent="0.25">
      <c r="B41" s="11" t="s">
        <v>89</v>
      </c>
      <c r="C41" s="12"/>
      <c r="D41" s="12"/>
      <c r="E41" s="12"/>
      <c r="F41" s="12"/>
      <c r="G41" s="12"/>
      <c r="H41" s="12"/>
      <c r="I41" s="12"/>
      <c r="J41" s="13"/>
    </row>
    <row r="42" spans="2:10" ht="15.75" customHeight="1" x14ac:dyDescent="0.25">
      <c r="B42" s="14" t="s">
        <v>72</v>
      </c>
      <c r="C42" s="30"/>
      <c r="D42" s="18">
        <f>'Comps Inputs'!E10</f>
        <v>0</v>
      </c>
      <c r="E42" s="30"/>
      <c r="F42" s="30"/>
      <c r="G42" s="30"/>
      <c r="H42" s="30"/>
      <c r="I42" s="30"/>
      <c r="J42" s="30"/>
    </row>
    <row r="43" spans="2:10" ht="15.75" customHeight="1" x14ac:dyDescent="0.25">
      <c r="B43" s="23" t="s">
        <v>73</v>
      </c>
      <c r="C43" s="31" t="s">
        <v>74</v>
      </c>
      <c r="D43" s="17">
        <v>0</v>
      </c>
      <c r="E43" s="16">
        <v>0</v>
      </c>
      <c r="F43" s="32">
        <f>'Comps Inputs'!D10</f>
        <v>0</v>
      </c>
      <c r="G43" s="33" t="str">
        <f>IF(F43&gt;E43,"Yes","No")</f>
        <v>No</v>
      </c>
      <c r="H43" s="25">
        <f>IFERROR(IF(F43&gt;E43,D43*E43/1000,0),0)</f>
        <v>0</v>
      </c>
      <c r="I43" s="34">
        <f>IFERROR(H43/(F43/1000),0)</f>
        <v>0</v>
      </c>
      <c r="J43" s="34">
        <f>IFERROR(IF(F43&gt;E43,D43-I43,0),0)</f>
        <v>0</v>
      </c>
    </row>
    <row r="44" spans="2:10" ht="15.75" customHeight="1" x14ac:dyDescent="0.25">
      <c r="B44" s="27" t="s">
        <v>75</v>
      </c>
      <c r="C44" s="35" t="s">
        <v>76</v>
      </c>
      <c r="D44" s="17">
        <v>0</v>
      </c>
      <c r="E44" s="16">
        <v>0</v>
      </c>
      <c r="F44" s="36">
        <f>'Comps Inputs'!D10</f>
        <v>0</v>
      </c>
      <c r="G44" s="37" t="str">
        <f>IF(F44&gt;E44,"Yes","No")</f>
        <v>No</v>
      </c>
      <c r="H44" s="19">
        <f>IFERROR(IF(F44&gt;E44,D44*E44/1000,0),0)</f>
        <v>0</v>
      </c>
      <c r="I44" s="38">
        <f>IFERROR(H44/(F44/1000),0)</f>
        <v>0</v>
      </c>
      <c r="J44" s="38">
        <f>IFERROR(IF(F44&gt;E44,D44-I44,0),0)</f>
        <v>0</v>
      </c>
    </row>
    <row r="45" spans="2:10" ht="15.75" customHeight="1" x14ac:dyDescent="0.25">
      <c r="B45" s="23" t="s">
        <v>77</v>
      </c>
      <c r="C45" s="31" t="s">
        <v>78</v>
      </c>
      <c r="D45" s="17">
        <v>0</v>
      </c>
      <c r="E45" s="16">
        <v>0</v>
      </c>
      <c r="F45" s="32">
        <f>'Comps Inputs'!D10</f>
        <v>0</v>
      </c>
      <c r="G45" s="33" t="str">
        <f>IF(F45&gt;E45,"Yes","No")</f>
        <v>No</v>
      </c>
      <c r="H45" s="25">
        <f>IFERROR(IF(F45&gt;E45,D45*E45/1000,0),0)</f>
        <v>0</v>
      </c>
      <c r="I45" s="34">
        <f>IFERROR(H45/(F45/1000),0)</f>
        <v>0</v>
      </c>
      <c r="J45" s="34">
        <f>IFERROR(IF(F45&gt;E45,D45-I45,0),0)</f>
        <v>0</v>
      </c>
    </row>
    <row r="46" spans="2:10" ht="15.75" customHeight="1" x14ac:dyDescent="0.25">
      <c r="B46" s="27" t="s">
        <v>79</v>
      </c>
      <c r="C46" s="35" t="s">
        <v>80</v>
      </c>
      <c r="D46" s="17">
        <v>0</v>
      </c>
      <c r="E46" s="16">
        <v>0</v>
      </c>
      <c r="F46" s="36">
        <f>'Comps Inputs'!D10</f>
        <v>0</v>
      </c>
      <c r="G46" s="39" t="s">
        <v>81</v>
      </c>
      <c r="H46" s="39" t="s">
        <v>81</v>
      </c>
      <c r="I46" s="38">
        <f>IFERROR(D46*F46/1000,0)</f>
        <v>0</v>
      </c>
      <c r="J46" s="38">
        <f>IFERROR(D46-I46,0)</f>
        <v>0</v>
      </c>
    </row>
    <row r="47" spans="2:10" ht="3.75" customHeight="1" x14ac:dyDescent="0.25"/>
    <row r="48" spans="2:10" ht="18" customHeight="1" x14ac:dyDescent="0.25">
      <c r="B48" s="40" t="s">
        <v>90</v>
      </c>
      <c r="C48" s="41"/>
      <c r="D48" s="42">
        <f>IFERROR(D42+J43+J44+J45+J46,D42)</f>
        <v>0</v>
      </c>
      <c r="E48" s="41"/>
      <c r="F48" s="41"/>
      <c r="G48" s="41"/>
      <c r="H48" s="41"/>
      <c r="I48" s="41"/>
      <c r="J48" s="42">
        <f>IFERROR(J43+J44+J45+J46,0)</f>
        <v>0</v>
      </c>
    </row>
    <row r="49" spans="2:10" ht="7.5" customHeight="1" x14ac:dyDescent="0.25"/>
    <row r="50" spans="2:10" ht="15.75" customHeight="1" x14ac:dyDescent="0.25">
      <c r="B50" s="11" t="s">
        <v>91</v>
      </c>
      <c r="C50" s="12"/>
      <c r="D50" s="12"/>
      <c r="E50" s="12"/>
      <c r="F50" s="12"/>
      <c r="G50" s="12"/>
      <c r="H50" s="12"/>
      <c r="I50" s="12"/>
      <c r="J50" s="13"/>
    </row>
    <row r="51" spans="2:10" ht="15.75" customHeight="1" x14ac:dyDescent="0.25">
      <c r="B51" s="14" t="s">
        <v>72</v>
      </c>
      <c r="C51" s="30"/>
      <c r="D51" s="18">
        <f>'Comps Inputs'!E11</f>
        <v>0</v>
      </c>
      <c r="E51" s="30"/>
      <c r="F51" s="30"/>
      <c r="G51" s="30"/>
      <c r="H51" s="30"/>
      <c r="I51" s="30"/>
      <c r="J51" s="30"/>
    </row>
    <row r="52" spans="2:10" ht="15.75" customHeight="1" x14ac:dyDescent="0.25">
      <c r="B52" s="23" t="s">
        <v>73</v>
      </c>
      <c r="C52" s="31" t="s">
        <v>74</v>
      </c>
      <c r="D52" s="17">
        <v>0</v>
      </c>
      <c r="E52" s="16">
        <v>0</v>
      </c>
      <c r="F52" s="32">
        <f>'Comps Inputs'!D11</f>
        <v>0</v>
      </c>
      <c r="G52" s="33" t="str">
        <f>IF(F52&gt;E52,"Yes","No")</f>
        <v>No</v>
      </c>
      <c r="H52" s="25">
        <f>IFERROR(IF(F52&gt;E52,D52*E52/1000,0),0)</f>
        <v>0</v>
      </c>
      <c r="I52" s="34">
        <f>IFERROR(H52/(F52/1000),0)</f>
        <v>0</v>
      </c>
      <c r="J52" s="34">
        <f>IFERROR(IF(F52&gt;E52,D52-I52,0),0)</f>
        <v>0</v>
      </c>
    </row>
    <row r="53" spans="2:10" ht="15.75" customHeight="1" x14ac:dyDescent="0.25">
      <c r="B53" s="27" t="s">
        <v>75</v>
      </c>
      <c r="C53" s="35" t="s">
        <v>76</v>
      </c>
      <c r="D53" s="17">
        <v>0</v>
      </c>
      <c r="E53" s="16">
        <v>0</v>
      </c>
      <c r="F53" s="36">
        <f>'Comps Inputs'!D11</f>
        <v>0</v>
      </c>
      <c r="G53" s="37" t="str">
        <f>IF(F53&gt;E53,"Yes","No")</f>
        <v>No</v>
      </c>
      <c r="H53" s="19">
        <f>IFERROR(IF(F53&gt;E53,D53*E53/1000,0),0)</f>
        <v>0</v>
      </c>
      <c r="I53" s="38">
        <f>IFERROR(H53/(F53/1000),0)</f>
        <v>0</v>
      </c>
      <c r="J53" s="38">
        <f>IFERROR(IF(F53&gt;E53,D53-I53,0),0)</f>
        <v>0</v>
      </c>
    </row>
    <row r="54" spans="2:10" ht="15.75" customHeight="1" x14ac:dyDescent="0.25">
      <c r="B54" s="23" t="s">
        <v>77</v>
      </c>
      <c r="C54" s="31" t="s">
        <v>78</v>
      </c>
      <c r="D54" s="17">
        <v>0</v>
      </c>
      <c r="E54" s="16">
        <v>0</v>
      </c>
      <c r="F54" s="32">
        <f>'Comps Inputs'!D11</f>
        <v>0</v>
      </c>
      <c r="G54" s="33" t="str">
        <f>IF(F54&gt;E54,"Yes","No")</f>
        <v>No</v>
      </c>
      <c r="H54" s="25">
        <f>IFERROR(IF(F54&gt;E54,D54*E54/1000,0),0)</f>
        <v>0</v>
      </c>
      <c r="I54" s="34">
        <f>IFERROR(H54/(F54/1000),0)</f>
        <v>0</v>
      </c>
      <c r="J54" s="34">
        <f>IFERROR(IF(F54&gt;E54,D54-I54,0),0)</f>
        <v>0</v>
      </c>
    </row>
    <row r="55" spans="2:10" ht="15.75" customHeight="1" x14ac:dyDescent="0.25">
      <c r="B55" s="27" t="s">
        <v>79</v>
      </c>
      <c r="C55" s="35" t="s">
        <v>80</v>
      </c>
      <c r="D55" s="17">
        <v>0</v>
      </c>
      <c r="E55" s="16">
        <v>0</v>
      </c>
      <c r="F55" s="36">
        <f>'Comps Inputs'!D11</f>
        <v>0</v>
      </c>
      <c r="G55" s="39" t="s">
        <v>81</v>
      </c>
      <c r="H55" s="39" t="s">
        <v>81</v>
      </c>
      <c r="I55" s="38">
        <f>IFERROR(D55*F55/1000,0)</f>
        <v>0</v>
      </c>
      <c r="J55" s="38">
        <f>IFERROR(D55-I55,0)</f>
        <v>0</v>
      </c>
    </row>
    <row r="56" spans="2:10" ht="3.75" customHeight="1" x14ac:dyDescent="0.25"/>
    <row r="57" spans="2:10" ht="18" customHeight="1" x14ac:dyDescent="0.25">
      <c r="B57" s="40" t="s">
        <v>92</v>
      </c>
      <c r="C57" s="41"/>
      <c r="D57" s="42">
        <f>IFERROR(D51+J52+J53+J54+J55,D51)</f>
        <v>0</v>
      </c>
      <c r="E57" s="41"/>
      <c r="F57" s="41"/>
      <c r="G57" s="41"/>
      <c r="H57" s="41"/>
      <c r="I57" s="41"/>
      <c r="J57" s="42">
        <f>IFERROR(J52+J53+J54+J55,0)</f>
        <v>0</v>
      </c>
    </row>
    <row r="58" spans="2:10" ht="7.5" customHeight="1" x14ac:dyDescent="0.25"/>
    <row r="59" spans="2:10" ht="15.75" customHeight="1" x14ac:dyDescent="0.25">
      <c r="B59" s="11" t="s">
        <v>93</v>
      </c>
      <c r="C59" s="12"/>
      <c r="D59" s="12"/>
      <c r="E59" s="12"/>
      <c r="F59" s="12"/>
      <c r="G59" s="12"/>
      <c r="H59" s="12"/>
      <c r="I59" s="12"/>
      <c r="J59" s="13"/>
    </row>
    <row r="60" spans="2:10" ht="15.75" customHeight="1" x14ac:dyDescent="0.25">
      <c r="B60" s="14" t="s">
        <v>72</v>
      </c>
      <c r="C60" s="30"/>
      <c r="D60" s="18">
        <f>'Comps Inputs'!E12</f>
        <v>0</v>
      </c>
      <c r="E60" s="30"/>
      <c r="F60" s="30"/>
      <c r="G60" s="30"/>
      <c r="H60" s="30"/>
      <c r="I60" s="30"/>
      <c r="J60" s="30"/>
    </row>
    <row r="61" spans="2:10" ht="15.75" customHeight="1" x14ac:dyDescent="0.25">
      <c r="B61" s="23" t="s">
        <v>73</v>
      </c>
      <c r="C61" s="31" t="s">
        <v>74</v>
      </c>
      <c r="D61" s="17">
        <v>0</v>
      </c>
      <c r="E61" s="16">
        <v>0</v>
      </c>
      <c r="F61" s="32">
        <f>'Comps Inputs'!D12</f>
        <v>0</v>
      </c>
      <c r="G61" s="33" t="str">
        <f>IF(F61&gt;E61,"Yes","No")</f>
        <v>No</v>
      </c>
      <c r="H61" s="25">
        <f>IFERROR(IF(F61&gt;E61,D61*E61/1000,0),0)</f>
        <v>0</v>
      </c>
      <c r="I61" s="34">
        <f>IFERROR(H61/(F61/1000),0)</f>
        <v>0</v>
      </c>
      <c r="J61" s="34">
        <f>IFERROR(IF(F61&gt;E61,D61-I61,0),0)</f>
        <v>0</v>
      </c>
    </row>
    <row r="62" spans="2:10" ht="15.75" customHeight="1" x14ac:dyDescent="0.25">
      <c r="B62" s="27" t="s">
        <v>75</v>
      </c>
      <c r="C62" s="35" t="s">
        <v>76</v>
      </c>
      <c r="D62" s="17">
        <v>0</v>
      </c>
      <c r="E62" s="16">
        <v>0</v>
      </c>
      <c r="F62" s="36">
        <f>'Comps Inputs'!D12</f>
        <v>0</v>
      </c>
      <c r="G62" s="37" t="str">
        <f>IF(F62&gt;E62,"Yes","No")</f>
        <v>No</v>
      </c>
      <c r="H62" s="19">
        <f>IFERROR(IF(F62&gt;E62,D62*E62/1000,0),0)</f>
        <v>0</v>
      </c>
      <c r="I62" s="38">
        <f>IFERROR(H62/(F62/1000),0)</f>
        <v>0</v>
      </c>
      <c r="J62" s="38">
        <f>IFERROR(IF(F62&gt;E62,D62-I62,0),0)</f>
        <v>0</v>
      </c>
    </row>
    <row r="63" spans="2:10" ht="15.75" customHeight="1" x14ac:dyDescent="0.25">
      <c r="B63" s="23" t="s">
        <v>77</v>
      </c>
      <c r="C63" s="31" t="s">
        <v>78</v>
      </c>
      <c r="D63" s="17">
        <v>0</v>
      </c>
      <c r="E63" s="16">
        <v>0</v>
      </c>
      <c r="F63" s="32">
        <f>'Comps Inputs'!D12</f>
        <v>0</v>
      </c>
      <c r="G63" s="33" t="str">
        <f>IF(F63&gt;E63,"Yes","No")</f>
        <v>No</v>
      </c>
      <c r="H63" s="25">
        <f>IFERROR(IF(F63&gt;E63,D63*E63/1000,0),0)</f>
        <v>0</v>
      </c>
      <c r="I63" s="34">
        <f>IFERROR(H63/(F63/1000),0)</f>
        <v>0</v>
      </c>
      <c r="J63" s="34">
        <f>IFERROR(IF(F63&gt;E63,D63-I63,0),0)</f>
        <v>0</v>
      </c>
    </row>
    <row r="64" spans="2:10" ht="15.75" customHeight="1" x14ac:dyDescent="0.25">
      <c r="B64" s="27" t="s">
        <v>79</v>
      </c>
      <c r="C64" s="35" t="s">
        <v>80</v>
      </c>
      <c r="D64" s="17">
        <v>0</v>
      </c>
      <c r="E64" s="16">
        <v>0</v>
      </c>
      <c r="F64" s="36">
        <f>'Comps Inputs'!D12</f>
        <v>0</v>
      </c>
      <c r="G64" s="39" t="s">
        <v>81</v>
      </c>
      <c r="H64" s="39" t="s">
        <v>81</v>
      </c>
      <c r="I64" s="38">
        <f>IFERROR(D64*F64/1000,0)</f>
        <v>0</v>
      </c>
      <c r="J64" s="38">
        <f>IFERROR(D64-I64,0)</f>
        <v>0</v>
      </c>
    </row>
    <row r="65" spans="2:10" ht="3.75" customHeight="1" x14ac:dyDescent="0.25"/>
    <row r="66" spans="2:10" ht="18" customHeight="1" x14ac:dyDescent="0.25">
      <c r="B66" s="40" t="s">
        <v>94</v>
      </c>
      <c r="C66" s="41"/>
      <c r="D66" s="42">
        <f>IFERROR(D60+J61+J62+J63+J64,D60)</f>
        <v>0</v>
      </c>
      <c r="E66" s="41"/>
      <c r="F66" s="41"/>
      <c r="G66" s="41"/>
      <c r="H66" s="41"/>
      <c r="I66" s="41"/>
      <c r="J66" s="42">
        <f>IFERROR(J61+J62+J63+J64,0)</f>
        <v>0</v>
      </c>
    </row>
    <row r="67" spans="2:10" ht="7.5" customHeight="1" x14ac:dyDescent="0.25"/>
    <row r="68" spans="2:10" ht="15.75" customHeight="1" x14ac:dyDescent="0.25">
      <c r="B68" s="11" t="s">
        <v>95</v>
      </c>
      <c r="C68" s="12"/>
      <c r="D68" s="12"/>
      <c r="E68" s="12"/>
      <c r="F68" s="12"/>
      <c r="G68" s="12"/>
      <c r="H68" s="12"/>
      <c r="I68" s="12"/>
      <c r="J68" s="13"/>
    </row>
    <row r="69" spans="2:10" ht="15.75" customHeight="1" x14ac:dyDescent="0.25">
      <c r="B69" s="14" t="s">
        <v>72</v>
      </c>
      <c r="C69" s="30"/>
      <c r="D69" s="18">
        <f>'Comps Inputs'!E13</f>
        <v>0</v>
      </c>
      <c r="E69" s="30"/>
      <c r="F69" s="30"/>
      <c r="G69" s="30"/>
      <c r="H69" s="30"/>
      <c r="I69" s="30"/>
      <c r="J69" s="30"/>
    </row>
    <row r="70" spans="2:10" ht="15.75" customHeight="1" x14ac:dyDescent="0.25">
      <c r="B70" s="23" t="s">
        <v>73</v>
      </c>
      <c r="C70" s="31" t="s">
        <v>74</v>
      </c>
      <c r="D70" s="17">
        <v>0</v>
      </c>
      <c r="E70" s="16">
        <v>0</v>
      </c>
      <c r="F70" s="32">
        <f>'Comps Inputs'!D13</f>
        <v>0</v>
      </c>
      <c r="G70" s="33" t="str">
        <f>IF(F70&gt;E70,"Yes","No")</f>
        <v>No</v>
      </c>
      <c r="H70" s="25">
        <f>IFERROR(IF(F70&gt;E70,D70*E70/1000,0),0)</f>
        <v>0</v>
      </c>
      <c r="I70" s="34">
        <f>IFERROR(H70/(F70/1000),0)</f>
        <v>0</v>
      </c>
      <c r="J70" s="34">
        <f>IFERROR(IF(F70&gt;E70,D70-I70,0),0)</f>
        <v>0</v>
      </c>
    </row>
    <row r="71" spans="2:10" ht="15.75" customHeight="1" x14ac:dyDescent="0.25">
      <c r="B71" s="27" t="s">
        <v>75</v>
      </c>
      <c r="C71" s="35" t="s">
        <v>76</v>
      </c>
      <c r="D71" s="17">
        <v>0</v>
      </c>
      <c r="E71" s="16">
        <v>0</v>
      </c>
      <c r="F71" s="36">
        <f>'Comps Inputs'!D13</f>
        <v>0</v>
      </c>
      <c r="G71" s="37" t="str">
        <f>IF(F71&gt;E71,"Yes","No")</f>
        <v>No</v>
      </c>
      <c r="H71" s="19">
        <f>IFERROR(IF(F71&gt;E71,D71*E71/1000,0),0)</f>
        <v>0</v>
      </c>
      <c r="I71" s="38">
        <f>IFERROR(H71/(F71/1000),0)</f>
        <v>0</v>
      </c>
      <c r="J71" s="38">
        <f>IFERROR(IF(F71&gt;E71,D71-I71,0),0)</f>
        <v>0</v>
      </c>
    </row>
    <row r="72" spans="2:10" ht="15.75" customHeight="1" x14ac:dyDescent="0.25">
      <c r="B72" s="23" t="s">
        <v>77</v>
      </c>
      <c r="C72" s="31" t="s">
        <v>78</v>
      </c>
      <c r="D72" s="17">
        <v>0</v>
      </c>
      <c r="E72" s="16">
        <v>0</v>
      </c>
      <c r="F72" s="32">
        <f>'Comps Inputs'!D13</f>
        <v>0</v>
      </c>
      <c r="G72" s="33" t="str">
        <f>IF(F72&gt;E72,"Yes","No")</f>
        <v>No</v>
      </c>
      <c r="H72" s="25">
        <f>IFERROR(IF(F72&gt;E72,D72*E72/1000,0),0)</f>
        <v>0</v>
      </c>
      <c r="I72" s="34">
        <f>IFERROR(H72/(F72/1000),0)</f>
        <v>0</v>
      </c>
      <c r="J72" s="34">
        <f>IFERROR(IF(F72&gt;E72,D72-I72,0),0)</f>
        <v>0</v>
      </c>
    </row>
    <row r="73" spans="2:10" ht="15.75" customHeight="1" x14ac:dyDescent="0.25">
      <c r="B73" s="27" t="s">
        <v>79</v>
      </c>
      <c r="C73" s="35" t="s">
        <v>80</v>
      </c>
      <c r="D73" s="17">
        <v>0</v>
      </c>
      <c r="E73" s="16">
        <v>0</v>
      </c>
      <c r="F73" s="36">
        <f>'Comps Inputs'!D13</f>
        <v>0</v>
      </c>
      <c r="G73" s="39" t="s">
        <v>81</v>
      </c>
      <c r="H73" s="39" t="s">
        <v>81</v>
      </c>
      <c r="I73" s="38">
        <f>IFERROR(D73*F73/1000,0)</f>
        <v>0</v>
      </c>
      <c r="J73" s="38">
        <f>IFERROR(D73-I73,0)</f>
        <v>0</v>
      </c>
    </row>
    <row r="74" spans="2:10" ht="3.75" customHeight="1" x14ac:dyDescent="0.25"/>
    <row r="75" spans="2:10" ht="18" customHeight="1" x14ac:dyDescent="0.25">
      <c r="B75" s="40" t="s">
        <v>96</v>
      </c>
      <c r="C75" s="41"/>
      <c r="D75" s="42">
        <f>IFERROR(D69+J70+J71+J72+J73,D69)</f>
        <v>0</v>
      </c>
      <c r="E75" s="41"/>
      <c r="F75" s="41"/>
      <c r="G75" s="41"/>
      <c r="H75" s="41"/>
      <c r="I75" s="41"/>
      <c r="J75" s="42">
        <f>IFERROR(J70+J71+J72+J73,0)</f>
        <v>0</v>
      </c>
    </row>
    <row r="76" spans="2:10" ht="7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090"/>
  </sheetPr>
  <dimension ref="B1:O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10" customWidth="1"/>
    <col min="4" max="4" width="14" customWidth="1"/>
    <col min="5" max="5" width="15" customWidth="1"/>
    <col min="6" max="6" width="12" customWidth="1"/>
    <col min="7" max="7" width="13" customWidth="1"/>
    <col min="8" max="10" width="12" customWidth="1"/>
    <col min="11" max="11" width="13" customWidth="1"/>
    <col min="12" max="13" width="12" customWidth="1"/>
    <col min="14" max="14" width="13" customWidth="1"/>
    <col min="15" max="15" width="12" customWidth="1"/>
  </cols>
  <sheetData>
    <row r="1" spans="2:15" ht="31.5" customHeight="1" x14ac:dyDescent="0.25">
      <c r="B1" s="5" t="s">
        <v>97</v>
      </c>
      <c r="O1" s="6" t="s">
        <v>15</v>
      </c>
    </row>
    <row r="2" spans="2:15" ht="15.75" customHeight="1" x14ac:dyDescent="0.25">
      <c r="B2" s="7" t="s">
        <v>98</v>
      </c>
    </row>
    <row r="3" spans="2:15" ht="36" customHeight="1" x14ac:dyDescent="0.25">
      <c r="B3" s="10" t="s">
        <v>99</v>
      </c>
      <c r="C3" s="10" t="s">
        <v>23</v>
      </c>
      <c r="D3" s="10" t="s">
        <v>100</v>
      </c>
      <c r="E3" s="10" t="s">
        <v>101</v>
      </c>
      <c r="F3" s="10" t="s">
        <v>102</v>
      </c>
      <c r="G3" s="10" t="s">
        <v>103</v>
      </c>
      <c r="H3" s="10" t="s">
        <v>104</v>
      </c>
      <c r="I3" s="10" t="s">
        <v>105</v>
      </c>
      <c r="J3" s="10" t="s">
        <v>106</v>
      </c>
      <c r="K3" s="10" t="s">
        <v>107</v>
      </c>
      <c r="L3" s="10" t="s">
        <v>108</v>
      </c>
      <c r="M3" s="10" t="s">
        <v>109</v>
      </c>
      <c r="N3" s="10" t="s">
        <v>110</v>
      </c>
      <c r="O3" s="10" t="s">
        <v>111</v>
      </c>
    </row>
    <row r="5" spans="2:15" ht="15.75" customHeight="1" x14ac:dyDescent="0.25">
      <c r="B5" s="11" t="s">
        <v>112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2:15" ht="15.75" customHeight="1" x14ac:dyDescent="0.25">
      <c r="B6" s="43" t="str">
        <f>'Comps Inputs'!B6</f>
        <v>Company A (Target / Subject)</v>
      </c>
      <c r="C6" s="44" t="str">
        <f>'Comps Inputs'!C6</f>
        <v>TGT US</v>
      </c>
      <c r="D6" s="45">
        <f>'Comps Inputs'!G6</f>
        <v>0</v>
      </c>
      <c r="E6" s="45">
        <f>'Comps Inputs'!L6</f>
        <v>0</v>
      </c>
      <c r="F6" s="46" t="str">
        <f>IFERROR('Comps Inputs'!L6/'Comps Inputs'!M6,"-")</f>
        <v>-</v>
      </c>
      <c r="G6" s="46" t="str">
        <f>IFERROR('Comps Inputs'!L6/'Comps Inputs'!P6,"-")</f>
        <v>-</v>
      </c>
      <c r="H6" s="46" t="str">
        <f>IFERROR('Comps Inputs'!L6/'Comps Inputs'!Q6,"-")</f>
        <v>-</v>
      </c>
      <c r="I6" s="46" t="str">
        <f>IFERROR('Comps Inputs'!G6/('Comps Inputs'!S6*'Comps Inputs'!F6),"-")</f>
        <v>-</v>
      </c>
      <c r="J6" s="46" t="str">
        <f>IFERROR('Comps Inputs'!L6/'Comps Inputs'!T6,"-")</f>
        <v>-</v>
      </c>
      <c r="K6" s="46" t="str">
        <f>IFERROR('Comps Inputs'!L6/'Comps Inputs'!U6,"-")</f>
        <v>-</v>
      </c>
      <c r="L6" s="46" t="str">
        <f>IFERROR('Comps Inputs'!G6/('Comps Inputs'!V6*'Comps Inputs'!F6),"-")</f>
        <v>-</v>
      </c>
      <c r="M6" s="47" t="str">
        <f>IFERROR('Comps Inputs'!P6/'Comps Inputs'!M6,"-")</f>
        <v>-</v>
      </c>
      <c r="N6" s="47" t="str">
        <f>IFERROR('Comps Inputs'!R6/'Comps Inputs'!M6,"-")</f>
        <v>-</v>
      </c>
      <c r="O6" s="47" t="str">
        <f>IFERROR(('Comps Inputs'!T6-'Comps Inputs'!M6)/'Comps Inputs'!M6,"-")</f>
        <v>-</v>
      </c>
    </row>
    <row r="7" spans="2:15" ht="15.75" customHeight="1" x14ac:dyDescent="0.25">
      <c r="B7" s="48" t="str">
        <f>'Comps Inputs'!B7</f>
        <v>Peer 1</v>
      </c>
      <c r="C7" s="49" t="str">
        <f>'Comps Inputs'!C7</f>
        <v>PEER1 US</v>
      </c>
      <c r="D7" s="50">
        <f>'Comps Inputs'!G7</f>
        <v>0</v>
      </c>
      <c r="E7" s="50">
        <f>'Comps Inputs'!L7</f>
        <v>0</v>
      </c>
      <c r="F7" s="51" t="str">
        <f>IFERROR('Comps Inputs'!L7/'Comps Inputs'!M7,"-")</f>
        <v>-</v>
      </c>
      <c r="G7" s="51" t="str">
        <f>IFERROR('Comps Inputs'!L7/'Comps Inputs'!P7,"-")</f>
        <v>-</v>
      </c>
      <c r="H7" s="51" t="str">
        <f>IFERROR('Comps Inputs'!L7/'Comps Inputs'!Q7,"-")</f>
        <v>-</v>
      </c>
      <c r="I7" s="51" t="str">
        <f>IFERROR('Comps Inputs'!G7/('Comps Inputs'!S7*'Comps Inputs'!F7),"-")</f>
        <v>-</v>
      </c>
      <c r="J7" s="51" t="str">
        <f>IFERROR('Comps Inputs'!L7/'Comps Inputs'!T7,"-")</f>
        <v>-</v>
      </c>
      <c r="K7" s="51" t="str">
        <f>IFERROR('Comps Inputs'!L7/'Comps Inputs'!U7,"-")</f>
        <v>-</v>
      </c>
      <c r="L7" s="51" t="str">
        <f>IFERROR('Comps Inputs'!G7/('Comps Inputs'!V7*'Comps Inputs'!F7),"-")</f>
        <v>-</v>
      </c>
      <c r="M7" s="52" t="str">
        <f>IFERROR('Comps Inputs'!P7/'Comps Inputs'!M7,"-")</f>
        <v>-</v>
      </c>
      <c r="N7" s="52" t="str">
        <f>IFERROR('Comps Inputs'!R7/'Comps Inputs'!M7,"-")</f>
        <v>-</v>
      </c>
      <c r="O7" s="52" t="str">
        <f>IFERROR(('Comps Inputs'!T7-'Comps Inputs'!M7)/'Comps Inputs'!M7,"-")</f>
        <v>-</v>
      </c>
    </row>
    <row r="8" spans="2:15" ht="15.75" customHeight="1" x14ac:dyDescent="0.25">
      <c r="B8" s="53" t="str">
        <f>'Comps Inputs'!B8</f>
        <v>Peer 2</v>
      </c>
      <c r="C8" s="44" t="str">
        <f>'Comps Inputs'!C8</f>
        <v>PEER2 US</v>
      </c>
      <c r="D8" s="45">
        <f>'Comps Inputs'!G8</f>
        <v>0</v>
      </c>
      <c r="E8" s="45">
        <f>'Comps Inputs'!L8</f>
        <v>0</v>
      </c>
      <c r="F8" s="46" t="str">
        <f>IFERROR('Comps Inputs'!L8/'Comps Inputs'!M8,"-")</f>
        <v>-</v>
      </c>
      <c r="G8" s="46" t="str">
        <f>IFERROR('Comps Inputs'!L8/'Comps Inputs'!P8,"-")</f>
        <v>-</v>
      </c>
      <c r="H8" s="46" t="str">
        <f>IFERROR('Comps Inputs'!L8/'Comps Inputs'!Q8,"-")</f>
        <v>-</v>
      </c>
      <c r="I8" s="46" t="str">
        <f>IFERROR('Comps Inputs'!G8/('Comps Inputs'!S8*'Comps Inputs'!F8),"-")</f>
        <v>-</v>
      </c>
      <c r="J8" s="46" t="str">
        <f>IFERROR('Comps Inputs'!L8/'Comps Inputs'!T8,"-")</f>
        <v>-</v>
      </c>
      <c r="K8" s="46" t="str">
        <f>IFERROR('Comps Inputs'!L8/'Comps Inputs'!U8,"-")</f>
        <v>-</v>
      </c>
      <c r="L8" s="46" t="str">
        <f>IFERROR('Comps Inputs'!G8/('Comps Inputs'!V8*'Comps Inputs'!F8),"-")</f>
        <v>-</v>
      </c>
      <c r="M8" s="47" t="str">
        <f>IFERROR('Comps Inputs'!P8/'Comps Inputs'!M8,"-")</f>
        <v>-</v>
      </c>
      <c r="N8" s="47" t="str">
        <f>IFERROR('Comps Inputs'!R8/'Comps Inputs'!M8,"-")</f>
        <v>-</v>
      </c>
      <c r="O8" s="47" t="str">
        <f>IFERROR(('Comps Inputs'!T8-'Comps Inputs'!M8)/'Comps Inputs'!M8,"-")</f>
        <v>-</v>
      </c>
    </row>
    <row r="9" spans="2:15" ht="15.75" customHeight="1" x14ac:dyDescent="0.25">
      <c r="B9" s="48" t="str">
        <f>'Comps Inputs'!B9</f>
        <v>Peer 3</v>
      </c>
      <c r="C9" s="49" t="str">
        <f>'Comps Inputs'!C9</f>
        <v>PEER3 US</v>
      </c>
      <c r="D9" s="50">
        <f>'Comps Inputs'!G9</f>
        <v>0</v>
      </c>
      <c r="E9" s="50">
        <f>'Comps Inputs'!L9</f>
        <v>0</v>
      </c>
      <c r="F9" s="51" t="str">
        <f>IFERROR('Comps Inputs'!L9/'Comps Inputs'!M9,"-")</f>
        <v>-</v>
      </c>
      <c r="G9" s="51" t="str">
        <f>IFERROR('Comps Inputs'!L9/'Comps Inputs'!P9,"-")</f>
        <v>-</v>
      </c>
      <c r="H9" s="51" t="str">
        <f>IFERROR('Comps Inputs'!L9/'Comps Inputs'!Q9,"-")</f>
        <v>-</v>
      </c>
      <c r="I9" s="51" t="str">
        <f>IFERROR('Comps Inputs'!G9/('Comps Inputs'!S9*'Comps Inputs'!F9),"-")</f>
        <v>-</v>
      </c>
      <c r="J9" s="51" t="str">
        <f>IFERROR('Comps Inputs'!L9/'Comps Inputs'!T9,"-")</f>
        <v>-</v>
      </c>
      <c r="K9" s="51" t="str">
        <f>IFERROR('Comps Inputs'!L9/'Comps Inputs'!U9,"-")</f>
        <v>-</v>
      </c>
      <c r="L9" s="51" t="str">
        <f>IFERROR('Comps Inputs'!G9/('Comps Inputs'!V9*'Comps Inputs'!F9),"-")</f>
        <v>-</v>
      </c>
      <c r="M9" s="52" t="str">
        <f>IFERROR('Comps Inputs'!P9/'Comps Inputs'!M9,"-")</f>
        <v>-</v>
      </c>
      <c r="N9" s="52" t="str">
        <f>IFERROR('Comps Inputs'!R9/'Comps Inputs'!M9,"-")</f>
        <v>-</v>
      </c>
      <c r="O9" s="52" t="str">
        <f>IFERROR(('Comps Inputs'!T9-'Comps Inputs'!M9)/'Comps Inputs'!M9,"-")</f>
        <v>-</v>
      </c>
    </row>
    <row r="10" spans="2:15" ht="15.75" customHeight="1" x14ac:dyDescent="0.25">
      <c r="B10" s="53" t="str">
        <f>'Comps Inputs'!B10</f>
        <v>Peer 4</v>
      </c>
      <c r="C10" s="44" t="str">
        <f>'Comps Inputs'!C10</f>
        <v>PEER4 US</v>
      </c>
      <c r="D10" s="45">
        <f>'Comps Inputs'!G10</f>
        <v>0</v>
      </c>
      <c r="E10" s="45">
        <f>'Comps Inputs'!L10</f>
        <v>0</v>
      </c>
      <c r="F10" s="46" t="str">
        <f>IFERROR('Comps Inputs'!L10/'Comps Inputs'!M10,"-")</f>
        <v>-</v>
      </c>
      <c r="G10" s="46" t="str">
        <f>IFERROR('Comps Inputs'!L10/'Comps Inputs'!P10,"-")</f>
        <v>-</v>
      </c>
      <c r="H10" s="46" t="str">
        <f>IFERROR('Comps Inputs'!L10/'Comps Inputs'!Q10,"-")</f>
        <v>-</v>
      </c>
      <c r="I10" s="46" t="str">
        <f>IFERROR('Comps Inputs'!G10/('Comps Inputs'!S10*'Comps Inputs'!F10),"-")</f>
        <v>-</v>
      </c>
      <c r="J10" s="46" t="str">
        <f>IFERROR('Comps Inputs'!L10/'Comps Inputs'!T10,"-")</f>
        <v>-</v>
      </c>
      <c r="K10" s="46" t="str">
        <f>IFERROR('Comps Inputs'!L10/'Comps Inputs'!U10,"-")</f>
        <v>-</v>
      </c>
      <c r="L10" s="46" t="str">
        <f>IFERROR('Comps Inputs'!G10/('Comps Inputs'!V10*'Comps Inputs'!F10),"-")</f>
        <v>-</v>
      </c>
      <c r="M10" s="47" t="str">
        <f>IFERROR('Comps Inputs'!P10/'Comps Inputs'!M10,"-")</f>
        <v>-</v>
      </c>
      <c r="N10" s="47" t="str">
        <f>IFERROR('Comps Inputs'!R10/'Comps Inputs'!M10,"-")</f>
        <v>-</v>
      </c>
      <c r="O10" s="47" t="str">
        <f>IFERROR(('Comps Inputs'!T10-'Comps Inputs'!M10)/'Comps Inputs'!M10,"-")</f>
        <v>-</v>
      </c>
    </row>
    <row r="11" spans="2:15" ht="15.75" customHeight="1" x14ac:dyDescent="0.25">
      <c r="B11" s="48" t="str">
        <f>'Comps Inputs'!B11</f>
        <v>Peer 5</v>
      </c>
      <c r="C11" s="49" t="str">
        <f>'Comps Inputs'!C11</f>
        <v>PEER5 US</v>
      </c>
      <c r="D11" s="50">
        <f>'Comps Inputs'!G11</f>
        <v>0</v>
      </c>
      <c r="E11" s="50">
        <f>'Comps Inputs'!L11</f>
        <v>0</v>
      </c>
      <c r="F11" s="51" t="str">
        <f>IFERROR('Comps Inputs'!L11/'Comps Inputs'!M11,"-")</f>
        <v>-</v>
      </c>
      <c r="G11" s="51" t="str">
        <f>IFERROR('Comps Inputs'!L11/'Comps Inputs'!P11,"-")</f>
        <v>-</v>
      </c>
      <c r="H11" s="51" t="str">
        <f>IFERROR('Comps Inputs'!L11/'Comps Inputs'!Q11,"-")</f>
        <v>-</v>
      </c>
      <c r="I11" s="51" t="str">
        <f>IFERROR('Comps Inputs'!G11/('Comps Inputs'!S11*'Comps Inputs'!F11),"-")</f>
        <v>-</v>
      </c>
      <c r="J11" s="51" t="str">
        <f>IFERROR('Comps Inputs'!L11/'Comps Inputs'!T11,"-")</f>
        <v>-</v>
      </c>
      <c r="K11" s="51" t="str">
        <f>IFERROR('Comps Inputs'!L11/'Comps Inputs'!U11,"-")</f>
        <v>-</v>
      </c>
      <c r="L11" s="51" t="str">
        <f>IFERROR('Comps Inputs'!G11/('Comps Inputs'!V11*'Comps Inputs'!F11),"-")</f>
        <v>-</v>
      </c>
      <c r="M11" s="52" t="str">
        <f>IFERROR('Comps Inputs'!P11/'Comps Inputs'!M11,"-")</f>
        <v>-</v>
      </c>
      <c r="N11" s="52" t="str">
        <f>IFERROR('Comps Inputs'!R11/'Comps Inputs'!M11,"-")</f>
        <v>-</v>
      </c>
      <c r="O11" s="52" t="str">
        <f>IFERROR(('Comps Inputs'!T11-'Comps Inputs'!M11)/'Comps Inputs'!M11,"-")</f>
        <v>-</v>
      </c>
    </row>
    <row r="12" spans="2:15" ht="15.75" customHeight="1" x14ac:dyDescent="0.25">
      <c r="B12" s="53" t="str">
        <f>'Comps Inputs'!B12</f>
        <v>Peer 6</v>
      </c>
      <c r="C12" s="44" t="str">
        <f>'Comps Inputs'!C12</f>
        <v>PEER6 US</v>
      </c>
      <c r="D12" s="45">
        <f>'Comps Inputs'!G12</f>
        <v>0</v>
      </c>
      <c r="E12" s="45">
        <f>'Comps Inputs'!L12</f>
        <v>0</v>
      </c>
      <c r="F12" s="46" t="str">
        <f>IFERROR('Comps Inputs'!L12/'Comps Inputs'!M12,"-")</f>
        <v>-</v>
      </c>
      <c r="G12" s="46" t="str">
        <f>IFERROR('Comps Inputs'!L12/'Comps Inputs'!P12,"-")</f>
        <v>-</v>
      </c>
      <c r="H12" s="46" t="str">
        <f>IFERROR('Comps Inputs'!L12/'Comps Inputs'!Q12,"-")</f>
        <v>-</v>
      </c>
      <c r="I12" s="46" t="str">
        <f>IFERROR('Comps Inputs'!G12/('Comps Inputs'!S12*'Comps Inputs'!F12),"-")</f>
        <v>-</v>
      </c>
      <c r="J12" s="46" t="str">
        <f>IFERROR('Comps Inputs'!L12/'Comps Inputs'!T12,"-")</f>
        <v>-</v>
      </c>
      <c r="K12" s="46" t="str">
        <f>IFERROR('Comps Inputs'!L12/'Comps Inputs'!U12,"-")</f>
        <v>-</v>
      </c>
      <c r="L12" s="46" t="str">
        <f>IFERROR('Comps Inputs'!G12/('Comps Inputs'!V12*'Comps Inputs'!F12),"-")</f>
        <v>-</v>
      </c>
      <c r="M12" s="47" t="str">
        <f>IFERROR('Comps Inputs'!P12/'Comps Inputs'!M12,"-")</f>
        <v>-</v>
      </c>
      <c r="N12" s="47" t="str">
        <f>IFERROR('Comps Inputs'!R12/'Comps Inputs'!M12,"-")</f>
        <v>-</v>
      </c>
      <c r="O12" s="47" t="str">
        <f>IFERROR(('Comps Inputs'!T12-'Comps Inputs'!M12)/'Comps Inputs'!M12,"-")</f>
        <v>-</v>
      </c>
    </row>
    <row r="13" spans="2:15" ht="15.75" customHeight="1" x14ac:dyDescent="0.25">
      <c r="B13" s="48" t="str">
        <f>'Comps Inputs'!B13</f>
        <v>Peer 7</v>
      </c>
      <c r="C13" s="49" t="str">
        <f>'Comps Inputs'!C13</f>
        <v>PEER7 US</v>
      </c>
      <c r="D13" s="50">
        <f>'Comps Inputs'!G13</f>
        <v>0</v>
      </c>
      <c r="E13" s="50">
        <f>'Comps Inputs'!L13</f>
        <v>0</v>
      </c>
      <c r="F13" s="51" t="str">
        <f>IFERROR('Comps Inputs'!L13/'Comps Inputs'!M13,"-")</f>
        <v>-</v>
      </c>
      <c r="G13" s="51" t="str">
        <f>IFERROR('Comps Inputs'!L13/'Comps Inputs'!P13,"-")</f>
        <v>-</v>
      </c>
      <c r="H13" s="51" t="str">
        <f>IFERROR('Comps Inputs'!L13/'Comps Inputs'!Q13,"-")</f>
        <v>-</v>
      </c>
      <c r="I13" s="51" t="str">
        <f>IFERROR('Comps Inputs'!G13/('Comps Inputs'!S13*'Comps Inputs'!F13),"-")</f>
        <v>-</v>
      </c>
      <c r="J13" s="51" t="str">
        <f>IFERROR('Comps Inputs'!L13/'Comps Inputs'!T13,"-")</f>
        <v>-</v>
      </c>
      <c r="K13" s="51" t="str">
        <f>IFERROR('Comps Inputs'!L13/'Comps Inputs'!U13,"-")</f>
        <v>-</v>
      </c>
      <c r="L13" s="51" t="str">
        <f>IFERROR('Comps Inputs'!G13/('Comps Inputs'!V13*'Comps Inputs'!F13),"-")</f>
        <v>-</v>
      </c>
      <c r="M13" s="52" t="str">
        <f>IFERROR('Comps Inputs'!P13/'Comps Inputs'!M13,"-")</f>
        <v>-</v>
      </c>
      <c r="N13" s="52" t="str">
        <f>IFERROR('Comps Inputs'!R13/'Comps Inputs'!M13,"-")</f>
        <v>-</v>
      </c>
      <c r="O13" s="52" t="str">
        <f>IFERROR(('Comps Inputs'!T13-'Comps Inputs'!M13)/'Comps Inputs'!M13,"-")</f>
        <v>-</v>
      </c>
    </row>
    <row r="15" spans="2:15" ht="15.75" customHeight="1" x14ac:dyDescent="0.25">
      <c r="B15" s="11" t="s">
        <v>113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</row>
    <row r="16" spans="2:15" ht="15.75" customHeight="1" x14ac:dyDescent="0.25">
      <c r="B16" s="54" t="s">
        <v>114</v>
      </c>
      <c r="C16" s="55"/>
      <c r="D16" s="56">
        <f t="shared" ref="D16:O16" si="0">IFERROR(AVERAGE(D6:D13),"-")</f>
        <v>0</v>
      </c>
      <c r="E16" s="56">
        <f t="shared" si="0"/>
        <v>0</v>
      </c>
      <c r="F16" s="57" t="str">
        <f t="shared" si="0"/>
        <v>-</v>
      </c>
      <c r="G16" s="57" t="str">
        <f t="shared" si="0"/>
        <v>-</v>
      </c>
      <c r="H16" s="57" t="str">
        <f t="shared" si="0"/>
        <v>-</v>
      </c>
      <c r="I16" s="57" t="str">
        <f t="shared" si="0"/>
        <v>-</v>
      </c>
      <c r="J16" s="57" t="str">
        <f t="shared" si="0"/>
        <v>-</v>
      </c>
      <c r="K16" s="57" t="str">
        <f t="shared" si="0"/>
        <v>-</v>
      </c>
      <c r="L16" s="57" t="str">
        <f t="shared" si="0"/>
        <v>-</v>
      </c>
      <c r="M16" s="58" t="str">
        <f t="shared" si="0"/>
        <v>-</v>
      </c>
      <c r="N16" s="58" t="str">
        <f t="shared" si="0"/>
        <v>-</v>
      </c>
      <c r="O16" s="58" t="str">
        <f t="shared" si="0"/>
        <v>-</v>
      </c>
    </row>
    <row r="17" spans="2:15" ht="15.75" customHeight="1" x14ac:dyDescent="0.25">
      <c r="B17" s="14" t="s">
        <v>115</v>
      </c>
      <c r="C17" s="59"/>
      <c r="D17" s="21">
        <f t="shared" ref="D17:O17" si="1">IFERROR(MEDIAN(D6:D13),"-")</f>
        <v>0</v>
      </c>
      <c r="E17" s="21">
        <f t="shared" si="1"/>
        <v>0</v>
      </c>
      <c r="F17" s="60" t="str">
        <f t="shared" si="1"/>
        <v>-</v>
      </c>
      <c r="G17" s="60" t="str">
        <f t="shared" si="1"/>
        <v>-</v>
      </c>
      <c r="H17" s="60" t="str">
        <f t="shared" si="1"/>
        <v>-</v>
      </c>
      <c r="I17" s="60" t="str">
        <f t="shared" si="1"/>
        <v>-</v>
      </c>
      <c r="J17" s="60" t="str">
        <f t="shared" si="1"/>
        <v>-</v>
      </c>
      <c r="K17" s="60" t="str">
        <f t="shared" si="1"/>
        <v>-</v>
      </c>
      <c r="L17" s="60" t="str">
        <f t="shared" si="1"/>
        <v>-</v>
      </c>
      <c r="M17" s="61" t="str">
        <f t="shared" si="1"/>
        <v>-</v>
      </c>
      <c r="N17" s="61" t="str">
        <f t="shared" si="1"/>
        <v>-</v>
      </c>
      <c r="O17" s="61" t="str">
        <f t="shared" si="1"/>
        <v>-</v>
      </c>
    </row>
    <row r="18" spans="2:15" ht="15.75" customHeight="1" x14ac:dyDescent="0.25">
      <c r="B18" s="54" t="s">
        <v>116</v>
      </c>
      <c r="C18" s="55"/>
      <c r="D18" s="56">
        <f t="shared" ref="D18:O18" si="2">IFERROR(MAX(D6:D13),"-")</f>
        <v>0</v>
      </c>
      <c r="E18" s="56">
        <f t="shared" si="2"/>
        <v>0</v>
      </c>
      <c r="F18" s="57">
        <f t="shared" si="2"/>
        <v>0</v>
      </c>
      <c r="G18" s="57">
        <f t="shared" si="2"/>
        <v>0</v>
      </c>
      <c r="H18" s="57">
        <f t="shared" si="2"/>
        <v>0</v>
      </c>
      <c r="I18" s="57">
        <f t="shared" si="2"/>
        <v>0</v>
      </c>
      <c r="J18" s="57">
        <f t="shared" si="2"/>
        <v>0</v>
      </c>
      <c r="K18" s="57">
        <f t="shared" si="2"/>
        <v>0</v>
      </c>
      <c r="L18" s="57">
        <f t="shared" si="2"/>
        <v>0</v>
      </c>
      <c r="M18" s="58">
        <f t="shared" si="2"/>
        <v>0</v>
      </c>
      <c r="N18" s="58">
        <f t="shared" si="2"/>
        <v>0</v>
      </c>
      <c r="O18" s="58">
        <f t="shared" si="2"/>
        <v>0</v>
      </c>
    </row>
    <row r="19" spans="2:15" ht="15.75" customHeight="1" x14ac:dyDescent="0.25">
      <c r="B19" s="14" t="s">
        <v>117</v>
      </c>
      <c r="C19" s="59"/>
      <c r="D19" s="21">
        <f t="shared" ref="D19:O19" si="3">IFERROR(MIN(D6:D13),"-")</f>
        <v>0</v>
      </c>
      <c r="E19" s="21">
        <f t="shared" si="3"/>
        <v>0</v>
      </c>
      <c r="F19" s="60">
        <f t="shared" si="3"/>
        <v>0</v>
      </c>
      <c r="G19" s="60">
        <f t="shared" si="3"/>
        <v>0</v>
      </c>
      <c r="H19" s="60">
        <f t="shared" si="3"/>
        <v>0</v>
      </c>
      <c r="I19" s="60">
        <f t="shared" si="3"/>
        <v>0</v>
      </c>
      <c r="J19" s="60">
        <f t="shared" si="3"/>
        <v>0</v>
      </c>
      <c r="K19" s="60">
        <f t="shared" si="3"/>
        <v>0</v>
      </c>
      <c r="L19" s="60">
        <f t="shared" si="3"/>
        <v>0</v>
      </c>
      <c r="M19" s="61">
        <f t="shared" si="3"/>
        <v>0</v>
      </c>
      <c r="N19" s="61">
        <f t="shared" si="3"/>
        <v>0</v>
      </c>
      <c r="O19" s="61">
        <f t="shared" si="3"/>
        <v>0</v>
      </c>
    </row>
    <row r="20" spans="2:15" ht="15.75" customHeight="1" x14ac:dyDescent="0.25">
      <c r="B20" s="23" t="s">
        <v>118</v>
      </c>
      <c r="C20" s="62"/>
      <c r="D20" s="25">
        <f t="shared" ref="D20:O20" si="4">IFERROR(PERCENTILE(D6:D13,0.25),"-")</f>
        <v>0</v>
      </c>
      <c r="E20" s="25">
        <f t="shared" si="4"/>
        <v>0</v>
      </c>
      <c r="F20" s="51" t="str">
        <f t="shared" si="4"/>
        <v>-</v>
      </c>
      <c r="G20" s="51" t="str">
        <f t="shared" si="4"/>
        <v>-</v>
      </c>
      <c r="H20" s="51" t="str">
        <f t="shared" si="4"/>
        <v>-</v>
      </c>
      <c r="I20" s="51" t="str">
        <f t="shared" si="4"/>
        <v>-</v>
      </c>
      <c r="J20" s="51" t="str">
        <f t="shared" si="4"/>
        <v>-</v>
      </c>
      <c r="K20" s="51" t="str">
        <f t="shared" si="4"/>
        <v>-</v>
      </c>
      <c r="L20" s="51" t="str">
        <f t="shared" si="4"/>
        <v>-</v>
      </c>
      <c r="M20" s="52" t="str">
        <f t="shared" si="4"/>
        <v>-</v>
      </c>
      <c r="N20" s="52" t="str">
        <f t="shared" si="4"/>
        <v>-</v>
      </c>
      <c r="O20" s="52" t="str">
        <f t="shared" si="4"/>
        <v>-</v>
      </c>
    </row>
    <row r="21" spans="2:15" ht="15.75" customHeight="1" x14ac:dyDescent="0.25">
      <c r="B21" s="63" t="s">
        <v>119</v>
      </c>
      <c r="C21" s="64"/>
      <c r="D21" s="65">
        <f t="shared" ref="D21:O21" si="5">IFERROR(PERCENTILE(D6:D13,0.75),"-")</f>
        <v>0</v>
      </c>
      <c r="E21" s="65">
        <f t="shared" si="5"/>
        <v>0</v>
      </c>
      <c r="F21" s="66" t="str">
        <f t="shared" si="5"/>
        <v>-</v>
      </c>
      <c r="G21" s="66" t="str">
        <f t="shared" si="5"/>
        <v>-</v>
      </c>
      <c r="H21" s="66" t="str">
        <f t="shared" si="5"/>
        <v>-</v>
      </c>
      <c r="I21" s="66" t="str">
        <f t="shared" si="5"/>
        <v>-</v>
      </c>
      <c r="J21" s="66" t="str">
        <f t="shared" si="5"/>
        <v>-</v>
      </c>
      <c r="K21" s="66" t="str">
        <f t="shared" si="5"/>
        <v>-</v>
      </c>
      <c r="L21" s="66" t="str">
        <f t="shared" si="5"/>
        <v>-</v>
      </c>
      <c r="M21" s="67" t="str">
        <f t="shared" si="5"/>
        <v>-</v>
      </c>
      <c r="N21" s="67" t="str">
        <f t="shared" si="5"/>
        <v>-</v>
      </c>
      <c r="O21" s="67" t="str">
        <f t="shared" si="5"/>
        <v>-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090"/>
  </sheetPr>
  <dimension ref="B1:K3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6" customWidth="1"/>
    <col min="3" max="3" width="16" customWidth="1"/>
    <col min="4" max="6" width="14" customWidth="1"/>
    <col min="7" max="11" width="16" customWidth="1"/>
  </cols>
  <sheetData>
    <row r="1" spans="2:11" ht="31.5" customHeight="1" x14ac:dyDescent="0.25">
      <c r="B1" s="5" t="s">
        <v>120</v>
      </c>
      <c r="K1" s="6" t="s">
        <v>15</v>
      </c>
    </row>
    <row r="2" spans="2:11" ht="15.75" customHeight="1" x14ac:dyDescent="0.25">
      <c r="B2" s="7" t="s">
        <v>121</v>
      </c>
    </row>
    <row r="3" spans="2:11" ht="42" customHeight="1" x14ac:dyDescent="0.25">
      <c r="B3" s="10" t="s">
        <v>122</v>
      </c>
      <c r="C3" s="10" t="s">
        <v>123</v>
      </c>
      <c r="D3" s="10" t="s">
        <v>124</v>
      </c>
      <c r="E3" s="10" t="s">
        <v>125</v>
      </c>
      <c r="F3" s="10" t="s">
        <v>126</v>
      </c>
      <c r="G3" s="10" t="s">
        <v>127</v>
      </c>
      <c r="H3" s="10" t="s">
        <v>128</v>
      </c>
      <c r="I3" s="10" t="s">
        <v>129</v>
      </c>
      <c r="J3" s="10" t="s">
        <v>130</v>
      </c>
      <c r="K3" s="10" t="s">
        <v>131</v>
      </c>
    </row>
    <row r="4" spans="2:11" ht="15.75" customHeight="1" x14ac:dyDescent="0.25">
      <c r="B4" s="11" t="s">
        <v>132</v>
      </c>
      <c r="C4" s="12"/>
      <c r="D4" s="12"/>
      <c r="E4" s="12"/>
      <c r="F4" s="12"/>
      <c r="G4" s="12"/>
      <c r="H4" s="12"/>
      <c r="I4" s="12"/>
      <c r="J4" s="12"/>
      <c r="K4" s="13"/>
    </row>
    <row r="5" spans="2:11" ht="15.75" customHeight="1" x14ac:dyDescent="0.25">
      <c r="B5" s="27" t="s">
        <v>133</v>
      </c>
      <c r="C5" s="20">
        <v>0</v>
      </c>
      <c r="D5" s="30"/>
      <c r="E5" s="30"/>
      <c r="F5" s="30"/>
      <c r="G5" s="30"/>
      <c r="H5" s="30"/>
      <c r="I5" s="30"/>
      <c r="J5" s="30"/>
      <c r="K5" s="30"/>
    </row>
    <row r="6" spans="2:11" ht="15.75" customHeight="1" x14ac:dyDescent="0.25">
      <c r="B6" s="27" t="s">
        <v>134</v>
      </c>
      <c r="C6" s="17">
        <v>0</v>
      </c>
      <c r="D6" s="30"/>
      <c r="E6" s="30"/>
      <c r="F6" s="30"/>
      <c r="G6" s="30"/>
      <c r="H6" s="30"/>
      <c r="I6" s="30"/>
      <c r="J6" s="30"/>
      <c r="K6" s="30"/>
    </row>
    <row r="7" spans="2:11" ht="15.75" customHeight="1" x14ac:dyDescent="0.25">
      <c r="B7" s="27" t="s">
        <v>135</v>
      </c>
      <c r="C7" s="16">
        <v>0</v>
      </c>
      <c r="D7" s="30"/>
      <c r="E7" s="30"/>
      <c r="F7" s="30"/>
      <c r="G7" s="30"/>
      <c r="H7" s="30"/>
      <c r="I7" s="30"/>
      <c r="J7" s="30"/>
      <c r="K7" s="30"/>
    </row>
    <row r="8" spans="2:11" ht="7.5" customHeight="1" x14ac:dyDescent="0.25"/>
    <row r="9" spans="2:11" ht="15.75" customHeight="1" x14ac:dyDescent="0.25">
      <c r="B9" s="68" t="s">
        <v>136</v>
      </c>
      <c r="C9" s="69"/>
      <c r="D9" s="69"/>
      <c r="E9" s="69"/>
      <c r="F9" s="69"/>
      <c r="G9" s="69"/>
      <c r="H9" s="69"/>
      <c r="I9" s="69"/>
      <c r="J9" s="69"/>
      <c r="K9" s="70"/>
    </row>
    <row r="10" spans="2:11" ht="15.75" customHeight="1" x14ac:dyDescent="0.25">
      <c r="B10" s="71" t="s">
        <v>137</v>
      </c>
      <c r="C10" s="72">
        <v>-0.1</v>
      </c>
      <c r="D10" s="73" t="s">
        <v>138</v>
      </c>
      <c r="E10" s="74"/>
      <c r="F10" s="74"/>
      <c r="G10" s="74"/>
      <c r="H10" s="74"/>
      <c r="I10" s="74"/>
      <c r="J10" s="74"/>
      <c r="K10" s="74"/>
    </row>
    <row r="11" spans="2:11" ht="15.75" customHeight="1" x14ac:dyDescent="0.25">
      <c r="B11" s="71" t="s">
        <v>139</v>
      </c>
      <c r="C11" s="72">
        <v>-0.05</v>
      </c>
      <c r="D11" s="73" t="s">
        <v>140</v>
      </c>
      <c r="E11" s="74"/>
      <c r="F11" s="74"/>
      <c r="G11" s="74"/>
      <c r="H11" s="74"/>
      <c r="I11" s="74"/>
      <c r="J11" s="74"/>
      <c r="K11" s="74"/>
    </row>
    <row r="12" spans="2:11" ht="15.75" customHeight="1" x14ac:dyDescent="0.25">
      <c r="B12" s="71" t="s">
        <v>141</v>
      </c>
      <c r="C12" s="72">
        <v>0</v>
      </c>
      <c r="D12" s="73" t="s">
        <v>142</v>
      </c>
      <c r="E12" s="74"/>
      <c r="F12" s="74"/>
      <c r="G12" s="74"/>
      <c r="H12" s="74"/>
      <c r="I12" s="74"/>
      <c r="J12" s="74"/>
      <c r="K12" s="74"/>
    </row>
    <row r="13" spans="2:11" ht="15.75" customHeight="1" x14ac:dyDescent="0.25">
      <c r="B13" s="71" t="s">
        <v>143</v>
      </c>
      <c r="C13" s="72">
        <v>0</v>
      </c>
      <c r="D13" s="73" t="s">
        <v>144</v>
      </c>
      <c r="E13" s="74"/>
      <c r="F13" s="74"/>
      <c r="G13" s="74"/>
      <c r="H13" s="74"/>
      <c r="I13" s="74"/>
      <c r="J13" s="74"/>
      <c r="K13" s="74"/>
    </row>
    <row r="14" spans="2:11" ht="18" customHeight="1" x14ac:dyDescent="0.25">
      <c r="B14" s="75" t="s">
        <v>145</v>
      </c>
      <c r="C14" s="76">
        <f>PRODUCT(1+C10,1+C11,1+C12,1+C13)</f>
        <v>0.85499999999999998</v>
      </c>
      <c r="D14" s="77"/>
      <c r="E14" s="77"/>
      <c r="F14" s="77"/>
      <c r="G14" s="77"/>
      <c r="H14" s="77"/>
      <c r="I14" s="77"/>
      <c r="J14" s="77"/>
      <c r="K14" s="77"/>
    </row>
    <row r="15" spans="2:11" ht="7.5" customHeight="1" x14ac:dyDescent="0.25"/>
    <row r="16" spans="2:11" ht="15.75" customHeight="1" x14ac:dyDescent="0.25">
      <c r="B16" s="11" t="s">
        <v>146</v>
      </c>
      <c r="C16" s="12"/>
      <c r="D16" s="12"/>
      <c r="E16" s="12"/>
      <c r="F16" s="12"/>
      <c r="G16" s="12"/>
      <c r="H16" s="12"/>
      <c r="I16" s="12"/>
      <c r="J16" s="12"/>
      <c r="K16" s="13"/>
    </row>
    <row r="17" spans="2:11" ht="15.75" customHeight="1" x14ac:dyDescent="0.25">
      <c r="B17" s="23" t="s">
        <v>147</v>
      </c>
      <c r="C17" s="20">
        <v>0</v>
      </c>
      <c r="D17" s="78"/>
      <c r="E17" s="78"/>
      <c r="F17" s="78"/>
      <c r="G17" s="78"/>
      <c r="H17" s="78"/>
      <c r="I17" s="78"/>
      <c r="J17" s="78"/>
      <c r="K17" s="78"/>
    </row>
    <row r="18" spans="2:11" ht="15.75" customHeight="1" x14ac:dyDescent="0.25">
      <c r="B18" s="27" t="s">
        <v>148</v>
      </c>
      <c r="C18" s="20">
        <v>0</v>
      </c>
      <c r="D18" s="30"/>
      <c r="E18" s="30"/>
      <c r="F18" s="30"/>
      <c r="G18" s="30"/>
      <c r="H18" s="30"/>
      <c r="I18" s="30"/>
      <c r="J18" s="30"/>
      <c r="K18" s="30"/>
    </row>
    <row r="19" spans="2:11" ht="15.75" customHeight="1" x14ac:dyDescent="0.25">
      <c r="B19" s="23" t="s">
        <v>149</v>
      </c>
      <c r="C19" s="20">
        <v>0</v>
      </c>
      <c r="D19" s="78"/>
      <c r="E19" s="78"/>
      <c r="F19" s="78"/>
      <c r="G19" s="78"/>
      <c r="H19" s="78"/>
      <c r="I19" s="78"/>
      <c r="J19" s="78"/>
      <c r="K19" s="78"/>
    </row>
    <row r="20" spans="2:11" ht="15.75" customHeight="1" x14ac:dyDescent="0.25">
      <c r="B20" s="27" t="s">
        <v>150</v>
      </c>
      <c r="C20" s="20">
        <v>0</v>
      </c>
      <c r="D20" s="30"/>
      <c r="E20" s="30"/>
      <c r="F20" s="30"/>
      <c r="G20" s="30"/>
      <c r="H20" s="30"/>
      <c r="I20" s="30"/>
      <c r="J20" s="30"/>
      <c r="K20" s="30"/>
    </row>
    <row r="21" spans="2:11" ht="15.75" customHeight="1" x14ac:dyDescent="0.25">
      <c r="B21" s="23" t="s">
        <v>151</v>
      </c>
      <c r="C21" s="20">
        <v>0</v>
      </c>
      <c r="D21" s="78"/>
      <c r="E21" s="78"/>
      <c r="F21" s="78"/>
      <c r="G21" s="78"/>
      <c r="H21" s="78"/>
      <c r="I21" s="78"/>
      <c r="J21" s="78"/>
      <c r="K21" s="78"/>
    </row>
    <row r="22" spans="2:11" ht="15.75" customHeight="1" x14ac:dyDescent="0.25">
      <c r="B22" s="27" t="s">
        <v>152</v>
      </c>
      <c r="C22" s="16">
        <v>0</v>
      </c>
      <c r="D22" s="30"/>
      <c r="E22" s="30"/>
      <c r="F22" s="30"/>
      <c r="G22" s="30"/>
      <c r="H22" s="30"/>
      <c r="I22" s="30"/>
      <c r="J22" s="30"/>
      <c r="K22" s="30"/>
    </row>
    <row r="23" spans="2:11" ht="15.75" customHeight="1" x14ac:dyDescent="0.25">
      <c r="B23" s="23" t="s">
        <v>153</v>
      </c>
      <c r="C23" s="20">
        <v>0</v>
      </c>
      <c r="D23" s="78"/>
      <c r="E23" s="78"/>
      <c r="F23" s="78"/>
      <c r="G23" s="78"/>
      <c r="H23" s="78"/>
      <c r="I23" s="78"/>
      <c r="J23" s="78"/>
      <c r="K23" s="78"/>
    </row>
    <row r="24" spans="2:11" ht="15.75" customHeight="1" x14ac:dyDescent="0.25">
      <c r="B24" s="27" t="s">
        <v>154</v>
      </c>
      <c r="C24" s="20">
        <v>0</v>
      </c>
      <c r="D24" s="30"/>
      <c r="E24" s="30"/>
      <c r="F24" s="30"/>
      <c r="G24" s="30"/>
      <c r="H24" s="30"/>
      <c r="I24" s="30"/>
      <c r="J24" s="30"/>
      <c r="K24" s="30"/>
    </row>
    <row r="25" spans="2:11" ht="15.75" customHeight="1" x14ac:dyDescent="0.25">
      <c r="B25" s="23" t="s">
        <v>155</v>
      </c>
      <c r="C25" s="16">
        <v>0</v>
      </c>
      <c r="D25" s="78"/>
      <c r="E25" s="78"/>
      <c r="F25" s="78"/>
      <c r="G25" s="78"/>
      <c r="H25" s="78"/>
      <c r="I25" s="78"/>
      <c r="J25" s="78"/>
      <c r="K25" s="78"/>
    </row>
    <row r="26" spans="2:11" ht="7.5" customHeight="1" x14ac:dyDescent="0.25"/>
    <row r="27" spans="2:11" ht="15.75" customHeight="1" x14ac:dyDescent="0.25">
      <c r="B27" s="11" t="s">
        <v>156</v>
      </c>
      <c r="C27" s="12"/>
      <c r="D27" s="12"/>
      <c r="E27" s="12"/>
      <c r="F27" s="12"/>
      <c r="G27" s="12"/>
      <c r="H27" s="12"/>
      <c r="I27" s="12"/>
      <c r="J27" s="12"/>
      <c r="K27" s="13"/>
    </row>
    <row r="28" spans="2:11" ht="15.75" customHeight="1" x14ac:dyDescent="0.25">
      <c r="B28" s="27" t="s">
        <v>157</v>
      </c>
      <c r="C28" s="45">
        <f>C17</f>
        <v>0</v>
      </c>
      <c r="D28" s="79" t="str">
        <f>IFERROR('Trading Comps'!F20,0)</f>
        <v>-</v>
      </c>
      <c r="E28" s="79" t="str">
        <f>IFERROR('Trading Comps'!F21,0)</f>
        <v>-</v>
      </c>
      <c r="F28" s="80" t="str">
        <f t="shared" ref="F28:G34" si="0">IFERROR(D28*$C$14,"-")</f>
        <v>-</v>
      </c>
      <c r="G28" s="80" t="str">
        <f t="shared" si="0"/>
        <v>-</v>
      </c>
      <c r="H28" s="19" t="str">
        <f t="shared" ref="H28:H34" si="1">IFERROR(F28*C28,"-")</f>
        <v>-</v>
      </c>
      <c r="I28" s="19" t="str">
        <f t="shared" ref="I28:I34" si="2">IFERROR(G28*C28,"-")</f>
        <v>-</v>
      </c>
      <c r="J28" s="81" t="str">
        <f t="shared" ref="J28:K30" si="3">IFERROR((H28-$C$5)/$C$6,"-")</f>
        <v>-</v>
      </c>
      <c r="K28" s="81" t="str">
        <f t="shared" si="3"/>
        <v>-</v>
      </c>
    </row>
    <row r="29" spans="2:11" ht="15.75" customHeight="1" x14ac:dyDescent="0.25">
      <c r="B29" s="23" t="s">
        <v>158</v>
      </c>
      <c r="C29" s="50">
        <f>C19</f>
        <v>0</v>
      </c>
      <c r="D29" s="79" t="str">
        <f>IFERROR('Trading Comps'!G20,0)</f>
        <v>-</v>
      </c>
      <c r="E29" s="79" t="str">
        <f>IFERROR('Trading Comps'!G21,0)</f>
        <v>-</v>
      </c>
      <c r="F29" s="80" t="str">
        <f t="shared" si="0"/>
        <v>-</v>
      </c>
      <c r="G29" s="80" t="str">
        <f t="shared" si="0"/>
        <v>-</v>
      </c>
      <c r="H29" s="25" t="str">
        <f t="shared" si="1"/>
        <v>-</v>
      </c>
      <c r="I29" s="25" t="str">
        <f t="shared" si="2"/>
        <v>-</v>
      </c>
      <c r="J29" s="82" t="str">
        <f t="shared" si="3"/>
        <v>-</v>
      </c>
      <c r="K29" s="82" t="str">
        <f t="shared" si="3"/>
        <v>-</v>
      </c>
    </row>
    <row r="30" spans="2:11" ht="15.75" customHeight="1" x14ac:dyDescent="0.25">
      <c r="B30" s="27" t="s">
        <v>159</v>
      </c>
      <c r="C30" s="45">
        <f>C20</f>
        <v>0</v>
      </c>
      <c r="D30" s="79" t="str">
        <f>IFERROR('Trading Comps'!H20,0)</f>
        <v>-</v>
      </c>
      <c r="E30" s="79" t="str">
        <f>IFERROR('Trading Comps'!H21,0)</f>
        <v>-</v>
      </c>
      <c r="F30" s="80" t="str">
        <f t="shared" si="0"/>
        <v>-</v>
      </c>
      <c r="G30" s="80" t="str">
        <f t="shared" si="0"/>
        <v>-</v>
      </c>
      <c r="H30" s="19" t="str">
        <f t="shared" si="1"/>
        <v>-</v>
      </c>
      <c r="I30" s="19" t="str">
        <f t="shared" si="2"/>
        <v>-</v>
      </c>
      <c r="J30" s="81" t="str">
        <f t="shared" si="3"/>
        <v>-</v>
      </c>
      <c r="K30" s="81" t="str">
        <f t="shared" si="3"/>
        <v>-</v>
      </c>
    </row>
    <row r="31" spans="2:11" ht="15.75" customHeight="1" x14ac:dyDescent="0.25">
      <c r="B31" s="23" t="s">
        <v>160</v>
      </c>
      <c r="C31" s="32">
        <f>C21</f>
        <v>0</v>
      </c>
      <c r="D31" s="79" t="str">
        <f>IFERROR('Trading Comps'!I20,0)</f>
        <v>-</v>
      </c>
      <c r="E31" s="79" t="str">
        <f>IFERROR('Trading Comps'!I21,0)</f>
        <v>-</v>
      </c>
      <c r="F31" s="80" t="str">
        <f t="shared" si="0"/>
        <v>-</v>
      </c>
      <c r="G31" s="80" t="str">
        <f t="shared" si="0"/>
        <v>-</v>
      </c>
      <c r="H31" s="25" t="str">
        <f t="shared" si="1"/>
        <v>-</v>
      </c>
      <c r="I31" s="25" t="str">
        <f t="shared" si="2"/>
        <v>-</v>
      </c>
      <c r="J31" s="82" t="str">
        <f>IFERROR(H31/$C$6,"-")</f>
        <v>-</v>
      </c>
      <c r="K31" s="82" t="str">
        <f>IFERROR(I31/$C$6,"-")</f>
        <v>-</v>
      </c>
    </row>
    <row r="32" spans="2:11" ht="15.75" customHeight="1" x14ac:dyDescent="0.25">
      <c r="B32" s="27" t="s">
        <v>161</v>
      </c>
      <c r="C32" s="45">
        <f>C23</f>
        <v>0</v>
      </c>
      <c r="D32" s="79" t="str">
        <f>IFERROR('Trading Comps'!J20,0)</f>
        <v>-</v>
      </c>
      <c r="E32" s="79" t="str">
        <f>IFERROR('Trading Comps'!J21,0)</f>
        <v>-</v>
      </c>
      <c r="F32" s="80" t="str">
        <f t="shared" si="0"/>
        <v>-</v>
      </c>
      <c r="G32" s="80" t="str">
        <f t="shared" si="0"/>
        <v>-</v>
      </c>
      <c r="H32" s="19" t="str">
        <f t="shared" si="1"/>
        <v>-</v>
      </c>
      <c r="I32" s="19" t="str">
        <f t="shared" si="2"/>
        <v>-</v>
      </c>
      <c r="J32" s="81" t="str">
        <f>IFERROR((H32-$C$5)/$C$6,"-")</f>
        <v>-</v>
      </c>
      <c r="K32" s="81" t="str">
        <f>IFERROR((I32-$C$5)/$C$6,"-")</f>
        <v>-</v>
      </c>
    </row>
    <row r="33" spans="2:11" ht="15.75" customHeight="1" x14ac:dyDescent="0.25">
      <c r="B33" s="23" t="s">
        <v>162</v>
      </c>
      <c r="C33" s="50">
        <f>C24</f>
        <v>0</v>
      </c>
      <c r="D33" s="79" t="str">
        <f>IFERROR('Trading Comps'!K20,0)</f>
        <v>-</v>
      </c>
      <c r="E33" s="79" t="str">
        <f>IFERROR('Trading Comps'!K21,0)</f>
        <v>-</v>
      </c>
      <c r="F33" s="80" t="str">
        <f t="shared" si="0"/>
        <v>-</v>
      </c>
      <c r="G33" s="80" t="str">
        <f t="shared" si="0"/>
        <v>-</v>
      </c>
      <c r="H33" s="25" t="str">
        <f t="shared" si="1"/>
        <v>-</v>
      </c>
      <c r="I33" s="25" t="str">
        <f t="shared" si="2"/>
        <v>-</v>
      </c>
      <c r="J33" s="82" t="str">
        <f>IFERROR((H33-$C$5)/$C$6,"-")</f>
        <v>-</v>
      </c>
      <c r="K33" s="82" t="str">
        <f>IFERROR((I33-$C$5)/$C$6,"-")</f>
        <v>-</v>
      </c>
    </row>
    <row r="34" spans="2:11" ht="15.75" customHeight="1" x14ac:dyDescent="0.25">
      <c r="B34" s="27" t="s">
        <v>163</v>
      </c>
      <c r="C34" s="36">
        <f>C25</f>
        <v>0</v>
      </c>
      <c r="D34" s="79" t="str">
        <f>IFERROR('Trading Comps'!L20,0)</f>
        <v>-</v>
      </c>
      <c r="E34" s="79" t="str">
        <f>IFERROR('Trading Comps'!L21,0)</f>
        <v>-</v>
      </c>
      <c r="F34" s="80" t="str">
        <f t="shared" si="0"/>
        <v>-</v>
      </c>
      <c r="G34" s="80" t="str">
        <f t="shared" si="0"/>
        <v>-</v>
      </c>
      <c r="H34" s="19" t="str">
        <f t="shared" si="1"/>
        <v>-</v>
      </c>
      <c r="I34" s="19" t="str">
        <f t="shared" si="2"/>
        <v>-</v>
      </c>
      <c r="J34" s="81" t="str">
        <f>IFERROR(H34/$C$6,"-")</f>
        <v>-</v>
      </c>
      <c r="K34" s="81" t="str">
        <f>IFERROR(I34/$C$6,"-")</f>
        <v>-</v>
      </c>
    </row>
    <row r="35" spans="2:11" ht="7.5" customHeight="1" x14ac:dyDescent="0.25"/>
    <row r="36" spans="2:11" ht="15.75" customHeight="1" x14ac:dyDescent="0.25">
      <c r="B36" s="11" t="s">
        <v>164</v>
      </c>
      <c r="C36" s="12"/>
      <c r="D36" s="12"/>
      <c r="E36" s="12"/>
      <c r="F36" s="12"/>
      <c r="G36" s="12"/>
      <c r="H36" s="12"/>
      <c r="I36" s="12"/>
      <c r="J36" s="12"/>
      <c r="K36" s="13"/>
    </row>
    <row r="37" spans="2:11" ht="18" customHeight="1" x14ac:dyDescent="0.25">
      <c r="B37" s="40" t="s">
        <v>165</v>
      </c>
      <c r="C37" s="41"/>
      <c r="D37" s="41"/>
      <c r="E37" s="41"/>
      <c r="F37" s="41"/>
      <c r="G37" s="41"/>
      <c r="H37" s="41"/>
      <c r="I37" s="41"/>
      <c r="J37" s="83">
        <f>IFERROR(MIN(J28:J34),"-")</f>
        <v>0</v>
      </c>
      <c r="K37" s="83">
        <f>IFERROR(MAX(K28:K34),"-")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090"/>
  </sheetPr>
  <dimension ref="B1:G1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5" width="15" customWidth="1"/>
    <col min="6" max="7" width="14" customWidth="1"/>
  </cols>
  <sheetData>
    <row r="1" spans="2:7" ht="31.5" customHeight="1" x14ac:dyDescent="0.25">
      <c r="B1" s="5" t="s">
        <v>166</v>
      </c>
      <c r="G1" s="6" t="s">
        <v>15</v>
      </c>
    </row>
    <row r="2" spans="2:7" ht="15.75" customHeight="1" x14ac:dyDescent="0.25">
      <c r="B2" s="7" t="s">
        <v>167</v>
      </c>
    </row>
    <row r="3" spans="2:7" ht="30" customHeight="1" x14ac:dyDescent="0.25">
      <c r="B3" s="10" t="s">
        <v>122</v>
      </c>
      <c r="C3" s="10" t="s">
        <v>130</v>
      </c>
      <c r="D3" s="10" t="s">
        <v>131</v>
      </c>
      <c r="E3" s="10" t="s">
        <v>168</v>
      </c>
      <c r="F3" s="10" t="s">
        <v>169</v>
      </c>
      <c r="G3" s="10" t="s">
        <v>170</v>
      </c>
    </row>
    <row r="4" spans="2:7" ht="15.75" customHeight="1" x14ac:dyDescent="0.25">
      <c r="B4" s="84" t="s">
        <v>171</v>
      </c>
      <c r="C4" s="85">
        <f>'Valuation Summary'!C14</f>
        <v>0.85499999999999998</v>
      </c>
    </row>
    <row r="5" spans="2:7" ht="15.75" customHeight="1" x14ac:dyDescent="0.25">
      <c r="B5" s="11" t="s">
        <v>172</v>
      </c>
      <c r="C5" s="12"/>
      <c r="D5" s="12"/>
      <c r="E5" s="12"/>
      <c r="F5" s="12"/>
      <c r="G5" s="13"/>
    </row>
    <row r="6" spans="2:7" ht="15.75" customHeight="1" x14ac:dyDescent="0.25">
      <c r="B6" s="27" t="s">
        <v>157</v>
      </c>
      <c r="C6" s="36" t="str">
        <f>IFERROR('Valuation Summary'!J28,"-")</f>
        <v>-</v>
      </c>
      <c r="D6" s="36" t="str">
        <f>IFERROR('Valuation Summary'!K28,"-")</f>
        <v>-</v>
      </c>
      <c r="E6" s="36" t="str">
        <f t="shared" ref="E6:E13" si="0">IFERROR((C6+D6)/2,"-")</f>
        <v>-</v>
      </c>
      <c r="F6" s="36" t="str">
        <f t="shared" ref="F6:F12" si="1">IFERROR(D6-C6,"-")</f>
        <v>-</v>
      </c>
      <c r="G6" s="86" t="str">
        <f>IFERROR((E6/'Valuation Summary'!$C$7)-1,"-")</f>
        <v>-</v>
      </c>
    </row>
    <row r="7" spans="2:7" ht="15.75" customHeight="1" x14ac:dyDescent="0.25">
      <c r="B7" s="23" t="s">
        <v>158</v>
      </c>
      <c r="C7" s="32" t="str">
        <f>IFERROR('Valuation Summary'!J29,"-")</f>
        <v>-</v>
      </c>
      <c r="D7" s="32" t="str">
        <f>IFERROR('Valuation Summary'!K29,"-")</f>
        <v>-</v>
      </c>
      <c r="E7" s="32" t="str">
        <f t="shared" si="0"/>
        <v>-</v>
      </c>
      <c r="F7" s="32" t="str">
        <f t="shared" si="1"/>
        <v>-</v>
      </c>
      <c r="G7" s="87" t="str">
        <f>IFERROR((E7/'Valuation Summary'!$C$7)-1,"-")</f>
        <v>-</v>
      </c>
    </row>
    <row r="8" spans="2:7" ht="15.75" customHeight="1" x14ac:dyDescent="0.25">
      <c r="B8" s="27" t="s">
        <v>159</v>
      </c>
      <c r="C8" s="36" t="str">
        <f>IFERROR('Valuation Summary'!J30,"-")</f>
        <v>-</v>
      </c>
      <c r="D8" s="36" t="str">
        <f>IFERROR('Valuation Summary'!K30,"-")</f>
        <v>-</v>
      </c>
      <c r="E8" s="36" t="str">
        <f t="shared" si="0"/>
        <v>-</v>
      </c>
      <c r="F8" s="36" t="str">
        <f t="shared" si="1"/>
        <v>-</v>
      </c>
      <c r="G8" s="86" t="str">
        <f>IFERROR((E8/'Valuation Summary'!$C$7)-1,"-")</f>
        <v>-</v>
      </c>
    </row>
    <row r="9" spans="2:7" ht="15.75" customHeight="1" x14ac:dyDescent="0.25">
      <c r="B9" s="23" t="s">
        <v>160</v>
      </c>
      <c r="C9" s="32" t="str">
        <f>IFERROR('Valuation Summary'!J31,"-")</f>
        <v>-</v>
      </c>
      <c r="D9" s="32" t="str">
        <f>IFERROR('Valuation Summary'!K31,"-")</f>
        <v>-</v>
      </c>
      <c r="E9" s="32" t="str">
        <f t="shared" si="0"/>
        <v>-</v>
      </c>
      <c r="F9" s="32" t="str">
        <f t="shared" si="1"/>
        <v>-</v>
      </c>
      <c r="G9" s="87" t="str">
        <f>IFERROR((E9/'Valuation Summary'!$C$7)-1,"-")</f>
        <v>-</v>
      </c>
    </row>
    <row r="10" spans="2:7" ht="15.75" customHeight="1" x14ac:dyDescent="0.25">
      <c r="B10" s="27" t="s">
        <v>161</v>
      </c>
      <c r="C10" s="36" t="str">
        <f>IFERROR('Valuation Summary'!J32,"-")</f>
        <v>-</v>
      </c>
      <c r="D10" s="36" t="str">
        <f>IFERROR('Valuation Summary'!K32,"-")</f>
        <v>-</v>
      </c>
      <c r="E10" s="36" t="str">
        <f t="shared" si="0"/>
        <v>-</v>
      </c>
      <c r="F10" s="36" t="str">
        <f t="shared" si="1"/>
        <v>-</v>
      </c>
      <c r="G10" s="86" t="str">
        <f>IFERROR((E10/'Valuation Summary'!$C$7)-1,"-")</f>
        <v>-</v>
      </c>
    </row>
    <row r="11" spans="2:7" ht="15.75" customHeight="1" x14ac:dyDescent="0.25">
      <c r="B11" s="23" t="s">
        <v>162</v>
      </c>
      <c r="C11" s="32" t="str">
        <f>IFERROR('Valuation Summary'!J33,"-")</f>
        <v>-</v>
      </c>
      <c r="D11" s="32" t="str">
        <f>IFERROR('Valuation Summary'!K33,"-")</f>
        <v>-</v>
      </c>
      <c r="E11" s="32" t="str">
        <f t="shared" si="0"/>
        <v>-</v>
      </c>
      <c r="F11" s="32" t="str">
        <f t="shared" si="1"/>
        <v>-</v>
      </c>
      <c r="G11" s="87" t="str">
        <f>IFERROR((E11/'Valuation Summary'!$C$7)-1,"-")</f>
        <v>-</v>
      </c>
    </row>
    <row r="12" spans="2:7" ht="15.75" customHeight="1" x14ac:dyDescent="0.25">
      <c r="B12" s="27" t="s">
        <v>163</v>
      </c>
      <c r="C12" s="36" t="str">
        <f>IFERROR('Valuation Summary'!J34,"-")</f>
        <v>-</v>
      </c>
      <c r="D12" s="36" t="str">
        <f>IFERROR('Valuation Summary'!K34,"-")</f>
        <v>-</v>
      </c>
      <c r="E12" s="36" t="str">
        <f t="shared" si="0"/>
        <v>-</v>
      </c>
      <c r="F12" s="36" t="str">
        <f t="shared" si="1"/>
        <v>-</v>
      </c>
      <c r="G12" s="86" t="str">
        <f>IFERROR((E12/'Valuation Summary'!$C$7)-1,"-")</f>
        <v>-</v>
      </c>
    </row>
    <row r="13" spans="2:7" ht="18" customHeight="1" x14ac:dyDescent="0.25">
      <c r="B13" s="40" t="s">
        <v>173</v>
      </c>
      <c r="C13" s="83">
        <f>IFERROR(MIN(C6:C12),"-")</f>
        <v>0</v>
      </c>
      <c r="D13" s="83">
        <f>IFERROR(MAX(D6:D12),"-")</f>
        <v>0</v>
      </c>
      <c r="E13" s="83">
        <f t="shared" si="0"/>
        <v>0</v>
      </c>
      <c r="F13" s="41"/>
      <c r="G13" s="4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090"/>
  </sheetPr>
  <dimension ref="B1:J26"/>
  <sheetViews>
    <sheetView showGridLines="0" zoomScaleNormal="100" workbookViewId="0">
      <selection activeCell="J1" sqref="J1"/>
    </sheetView>
  </sheetViews>
  <sheetFormatPr defaultColWidth="8.7109375" defaultRowHeight="15" x14ac:dyDescent="0.25"/>
  <cols>
    <col min="1" max="1" width="3" customWidth="1"/>
    <col min="2" max="2" width="16" customWidth="1"/>
    <col min="3" max="10" width="14" customWidth="1"/>
  </cols>
  <sheetData>
    <row r="1" spans="2:10" ht="31.5" customHeight="1" x14ac:dyDescent="0.25">
      <c r="B1" s="5" t="s">
        <v>174</v>
      </c>
      <c r="J1" s="6" t="s">
        <v>15</v>
      </c>
    </row>
    <row r="2" spans="2:10" ht="15.75" customHeight="1" x14ac:dyDescent="0.25">
      <c r="B2" s="7" t="s">
        <v>175</v>
      </c>
    </row>
    <row r="3" spans="2:10" ht="15.75" customHeight="1" x14ac:dyDescent="0.25">
      <c r="B3" s="11" t="s">
        <v>176</v>
      </c>
      <c r="C3" s="12"/>
      <c r="D3" s="12"/>
      <c r="E3" s="12"/>
      <c r="F3" s="12"/>
      <c r="G3" s="12"/>
      <c r="H3" s="12"/>
      <c r="I3" s="12"/>
      <c r="J3" s="13"/>
    </row>
    <row r="4" spans="2:10" ht="15.75" customHeight="1" x14ac:dyDescent="0.25">
      <c r="B4" s="88" t="s">
        <v>177</v>
      </c>
      <c r="C4" s="89">
        <v>5</v>
      </c>
      <c r="D4" s="89">
        <v>6</v>
      </c>
      <c r="E4" s="89">
        <v>7</v>
      </c>
      <c r="F4" s="89">
        <v>8</v>
      </c>
      <c r="G4" s="89">
        <v>9</v>
      </c>
      <c r="H4" s="89">
        <v>10</v>
      </c>
      <c r="I4" s="89">
        <v>11</v>
      </c>
      <c r="J4" s="89">
        <v>12</v>
      </c>
    </row>
    <row r="5" spans="2:10" ht="15.75" customHeight="1" x14ac:dyDescent="0.25">
      <c r="B5" s="90" t="s">
        <v>178</v>
      </c>
    </row>
    <row r="6" spans="2:10" ht="15.75" customHeight="1" x14ac:dyDescent="0.25">
      <c r="B6" s="91">
        <v>50</v>
      </c>
      <c r="C6" s="81" t="str">
        <f>IFERROR(($B6*$C$4*'Valuation Summary'!$C$14-'Valuation Summary'!$C$5)/'Valuation Summary'!$C$6,"-")</f>
        <v>-</v>
      </c>
      <c r="D6" s="82" t="str">
        <f>IFERROR(($B6*$D$4*'Valuation Summary'!$C$14-'Valuation Summary'!$C$5)/'Valuation Summary'!$C$6,"-")</f>
        <v>-</v>
      </c>
      <c r="E6" s="81" t="str">
        <f>IFERROR(($B6*$E$4*'Valuation Summary'!$C$14-'Valuation Summary'!$C$5)/'Valuation Summary'!$C$6,"-")</f>
        <v>-</v>
      </c>
      <c r="F6" s="82" t="str">
        <f>IFERROR(($B6*$F$4*'Valuation Summary'!$C$14-'Valuation Summary'!$C$5)/'Valuation Summary'!$C$6,"-")</f>
        <v>-</v>
      </c>
      <c r="G6" s="81" t="str">
        <f>IFERROR(($B6*$G$4*'Valuation Summary'!$C$14-'Valuation Summary'!$C$5)/'Valuation Summary'!$C$6,"-")</f>
        <v>-</v>
      </c>
      <c r="H6" s="82" t="str">
        <f>IFERROR(($B6*$H$4*'Valuation Summary'!$C$14-'Valuation Summary'!$C$5)/'Valuation Summary'!$C$6,"-")</f>
        <v>-</v>
      </c>
      <c r="I6" s="81" t="str">
        <f>IFERROR(($B6*$I$4*'Valuation Summary'!$C$14-'Valuation Summary'!$C$5)/'Valuation Summary'!$C$6,"-")</f>
        <v>-</v>
      </c>
      <c r="J6" s="82" t="str">
        <f>IFERROR(($B6*$J$4*'Valuation Summary'!$C$14-'Valuation Summary'!$C$5)/'Valuation Summary'!$C$6,"-")</f>
        <v>-</v>
      </c>
    </row>
    <row r="7" spans="2:10" ht="15.75" customHeight="1" x14ac:dyDescent="0.25">
      <c r="B7" s="91">
        <v>75</v>
      </c>
      <c r="C7" s="82" t="str">
        <f>IFERROR(($B7*$C$4*'Valuation Summary'!$C$14-'Valuation Summary'!$C$5)/'Valuation Summary'!$C$6,"-")</f>
        <v>-</v>
      </c>
      <c r="D7" s="81" t="str">
        <f>IFERROR(($B7*$D$4*'Valuation Summary'!$C$14-'Valuation Summary'!$C$5)/'Valuation Summary'!$C$6,"-")</f>
        <v>-</v>
      </c>
      <c r="E7" s="82" t="str">
        <f>IFERROR(($B7*$E$4*'Valuation Summary'!$C$14-'Valuation Summary'!$C$5)/'Valuation Summary'!$C$6,"-")</f>
        <v>-</v>
      </c>
      <c r="F7" s="81" t="str">
        <f>IFERROR(($B7*$F$4*'Valuation Summary'!$C$14-'Valuation Summary'!$C$5)/'Valuation Summary'!$C$6,"-")</f>
        <v>-</v>
      </c>
      <c r="G7" s="82" t="str">
        <f>IFERROR(($B7*$G$4*'Valuation Summary'!$C$14-'Valuation Summary'!$C$5)/'Valuation Summary'!$C$6,"-")</f>
        <v>-</v>
      </c>
      <c r="H7" s="81" t="str">
        <f>IFERROR(($B7*$H$4*'Valuation Summary'!$C$14-'Valuation Summary'!$C$5)/'Valuation Summary'!$C$6,"-")</f>
        <v>-</v>
      </c>
      <c r="I7" s="82" t="str">
        <f>IFERROR(($B7*$I$4*'Valuation Summary'!$C$14-'Valuation Summary'!$C$5)/'Valuation Summary'!$C$6,"-")</f>
        <v>-</v>
      </c>
      <c r="J7" s="81" t="str">
        <f>IFERROR(($B7*$J$4*'Valuation Summary'!$C$14-'Valuation Summary'!$C$5)/'Valuation Summary'!$C$6,"-")</f>
        <v>-</v>
      </c>
    </row>
    <row r="8" spans="2:10" ht="15.75" customHeight="1" x14ac:dyDescent="0.25">
      <c r="B8" s="91">
        <v>100</v>
      </c>
      <c r="C8" s="81" t="str">
        <f>IFERROR(($B8*$C$4*'Valuation Summary'!$C$14-'Valuation Summary'!$C$5)/'Valuation Summary'!$C$6,"-")</f>
        <v>-</v>
      </c>
      <c r="D8" s="82" t="str">
        <f>IFERROR(($B8*$D$4*'Valuation Summary'!$C$14-'Valuation Summary'!$C$5)/'Valuation Summary'!$C$6,"-")</f>
        <v>-</v>
      </c>
      <c r="E8" s="81" t="str">
        <f>IFERROR(($B8*$E$4*'Valuation Summary'!$C$14-'Valuation Summary'!$C$5)/'Valuation Summary'!$C$6,"-")</f>
        <v>-</v>
      </c>
      <c r="F8" s="82" t="str">
        <f>IFERROR(($B8*$F$4*'Valuation Summary'!$C$14-'Valuation Summary'!$C$5)/'Valuation Summary'!$C$6,"-")</f>
        <v>-</v>
      </c>
      <c r="G8" s="81" t="str">
        <f>IFERROR(($B8*$G$4*'Valuation Summary'!$C$14-'Valuation Summary'!$C$5)/'Valuation Summary'!$C$6,"-")</f>
        <v>-</v>
      </c>
      <c r="H8" s="82" t="str">
        <f>IFERROR(($B8*$H$4*'Valuation Summary'!$C$14-'Valuation Summary'!$C$5)/'Valuation Summary'!$C$6,"-")</f>
        <v>-</v>
      </c>
      <c r="I8" s="81" t="str">
        <f>IFERROR(($B8*$I$4*'Valuation Summary'!$C$14-'Valuation Summary'!$C$5)/'Valuation Summary'!$C$6,"-")</f>
        <v>-</v>
      </c>
      <c r="J8" s="82" t="str">
        <f>IFERROR(($B8*$J$4*'Valuation Summary'!$C$14-'Valuation Summary'!$C$5)/'Valuation Summary'!$C$6,"-")</f>
        <v>-</v>
      </c>
    </row>
    <row r="9" spans="2:10" ht="15.75" customHeight="1" x14ac:dyDescent="0.25">
      <c r="B9" s="91">
        <v>125</v>
      </c>
      <c r="C9" s="82" t="str">
        <f>IFERROR(($B9*$C$4*'Valuation Summary'!$C$14-'Valuation Summary'!$C$5)/'Valuation Summary'!$C$6,"-")</f>
        <v>-</v>
      </c>
      <c r="D9" s="81" t="str">
        <f>IFERROR(($B9*$D$4*'Valuation Summary'!$C$14-'Valuation Summary'!$C$5)/'Valuation Summary'!$C$6,"-")</f>
        <v>-</v>
      </c>
      <c r="E9" s="82" t="str">
        <f>IFERROR(($B9*$E$4*'Valuation Summary'!$C$14-'Valuation Summary'!$C$5)/'Valuation Summary'!$C$6,"-")</f>
        <v>-</v>
      </c>
      <c r="F9" s="81" t="str">
        <f>IFERROR(($B9*$F$4*'Valuation Summary'!$C$14-'Valuation Summary'!$C$5)/'Valuation Summary'!$C$6,"-")</f>
        <v>-</v>
      </c>
      <c r="G9" s="82" t="str">
        <f>IFERROR(($B9*$G$4*'Valuation Summary'!$C$14-'Valuation Summary'!$C$5)/'Valuation Summary'!$C$6,"-")</f>
        <v>-</v>
      </c>
      <c r="H9" s="81" t="str">
        <f>IFERROR(($B9*$H$4*'Valuation Summary'!$C$14-'Valuation Summary'!$C$5)/'Valuation Summary'!$C$6,"-")</f>
        <v>-</v>
      </c>
      <c r="I9" s="82" t="str">
        <f>IFERROR(($B9*$I$4*'Valuation Summary'!$C$14-'Valuation Summary'!$C$5)/'Valuation Summary'!$C$6,"-")</f>
        <v>-</v>
      </c>
      <c r="J9" s="81" t="str">
        <f>IFERROR(($B9*$J$4*'Valuation Summary'!$C$14-'Valuation Summary'!$C$5)/'Valuation Summary'!$C$6,"-")</f>
        <v>-</v>
      </c>
    </row>
    <row r="10" spans="2:10" ht="15.75" customHeight="1" x14ac:dyDescent="0.25">
      <c r="B10" s="91">
        <v>150</v>
      </c>
      <c r="C10" s="81" t="str">
        <f>IFERROR(($B10*$C$4*'Valuation Summary'!$C$14-'Valuation Summary'!$C$5)/'Valuation Summary'!$C$6,"-")</f>
        <v>-</v>
      </c>
      <c r="D10" s="82" t="str">
        <f>IFERROR(($B10*$D$4*'Valuation Summary'!$C$14-'Valuation Summary'!$C$5)/'Valuation Summary'!$C$6,"-")</f>
        <v>-</v>
      </c>
      <c r="E10" s="81" t="str">
        <f>IFERROR(($B10*$E$4*'Valuation Summary'!$C$14-'Valuation Summary'!$C$5)/'Valuation Summary'!$C$6,"-")</f>
        <v>-</v>
      </c>
      <c r="F10" s="82" t="str">
        <f>IFERROR(($B10*$F$4*'Valuation Summary'!$C$14-'Valuation Summary'!$C$5)/'Valuation Summary'!$C$6,"-")</f>
        <v>-</v>
      </c>
      <c r="G10" s="81" t="str">
        <f>IFERROR(($B10*$G$4*'Valuation Summary'!$C$14-'Valuation Summary'!$C$5)/'Valuation Summary'!$C$6,"-")</f>
        <v>-</v>
      </c>
      <c r="H10" s="82" t="str">
        <f>IFERROR(($B10*$H$4*'Valuation Summary'!$C$14-'Valuation Summary'!$C$5)/'Valuation Summary'!$C$6,"-")</f>
        <v>-</v>
      </c>
      <c r="I10" s="81" t="str">
        <f>IFERROR(($B10*$I$4*'Valuation Summary'!$C$14-'Valuation Summary'!$C$5)/'Valuation Summary'!$C$6,"-")</f>
        <v>-</v>
      </c>
      <c r="J10" s="82" t="str">
        <f>IFERROR(($B10*$J$4*'Valuation Summary'!$C$14-'Valuation Summary'!$C$5)/'Valuation Summary'!$C$6,"-")</f>
        <v>-</v>
      </c>
    </row>
    <row r="11" spans="2:10" ht="15.75" customHeight="1" x14ac:dyDescent="0.25">
      <c r="B11" s="91">
        <v>175</v>
      </c>
      <c r="C11" s="82" t="str">
        <f>IFERROR(($B11*$C$4*'Valuation Summary'!$C$14-'Valuation Summary'!$C$5)/'Valuation Summary'!$C$6,"-")</f>
        <v>-</v>
      </c>
      <c r="D11" s="81" t="str">
        <f>IFERROR(($B11*$D$4*'Valuation Summary'!$C$14-'Valuation Summary'!$C$5)/'Valuation Summary'!$C$6,"-")</f>
        <v>-</v>
      </c>
      <c r="E11" s="82" t="str">
        <f>IFERROR(($B11*$E$4*'Valuation Summary'!$C$14-'Valuation Summary'!$C$5)/'Valuation Summary'!$C$6,"-")</f>
        <v>-</v>
      </c>
      <c r="F11" s="81" t="str">
        <f>IFERROR(($B11*$F$4*'Valuation Summary'!$C$14-'Valuation Summary'!$C$5)/'Valuation Summary'!$C$6,"-")</f>
        <v>-</v>
      </c>
      <c r="G11" s="82" t="str">
        <f>IFERROR(($B11*$G$4*'Valuation Summary'!$C$14-'Valuation Summary'!$C$5)/'Valuation Summary'!$C$6,"-")</f>
        <v>-</v>
      </c>
      <c r="H11" s="81" t="str">
        <f>IFERROR(($B11*$H$4*'Valuation Summary'!$C$14-'Valuation Summary'!$C$5)/'Valuation Summary'!$C$6,"-")</f>
        <v>-</v>
      </c>
      <c r="I11" s="82" t="str">
        <f>IFERROR(($B11*$I$4*'Valuation Summary'!$C$14-'Valuation Summary'!$C$5)/'Valuation Summary'!$C$6,"-")</f>
        <v>-</v>
      </c>
      <c r="J11" s="81" t="str">
        <f>IFERROR(($B11*$J$4*'Valuation Summary'!$C$14-'Valuation Summary'!$C$5)/'Valuation Summary'!$C$6,"-")</f>
        <v>-</v>
      </c>
    </row>
    <row r="12" spans="2:10" ht="15.75" customHeight="1" x14ac:dyDescent="0.25">
      <c r="B12" s="91">
        <v>200</v>
      </c>
      <c r="C12" s="81" t="str">
        <f>IFERROR(($B12*$C$4*'Valuation Summary'!$C$14-'Valuation Summary'!$C$5)/'Valuation Summary'!$C$6,"-")</f>
        <v>-</v>
      </c>
      <c r="D12" s="82" t="str">
        <f>IFERROR(($B12*$D$4*'Valuation Summary'!$C$14-'Valuation Summary'!$C$5)/'Valuation Summary'!$C$6,"-")</f>
        <v>-</v>
      </c>
      <c r="E12" s="81" t="str">
        <f>IFERROR(($B12*$E$4*'Valuation Summary'!$C$14-'Valuation Summary'!$C$5)/'Valuation Summary'!$C$6,"-")</f>
        <v>-</v>
      </c>
      <c r="F12" s="82" t="str">
        <f>IFERROR(($B12*$F$4*'Valuation Summary'!$C$14-'Valuation Summary'!$C$5)/'Valuation Summary'!$C$6,"-")</f>
        <v>-</v>
      </c>
      <c r="G12" s="81" t="str">
        <f>IFERROR(($B12*$G$4*'Valuation Summary'!$C$14-'Valuation Summary'!$C$5)/'Valuation Summary'!$C$6,"-")</f>
        <v>-</v>
      </c>
      <c r="H12" s="82" t="str">
        <f>IFERROR(($B12*$H$4*'Valuation Summary'!$C$14-'Valuation Summary'!$C$5)/'Valuation Summary'!$C$6,"-")</f>
        <v>-</v>
      </c>
      <c r="I12" s="81" t="str">
        <f>IFERROR(($B12*$I$4*'Valuation Summary'!$C$14-'Valuation Summary'!$C$5)/'Valuation Summary'!$C$6,"-")</f>
        <v>-</v>
      </c>
      <c r="J12" s="82" t="str">
        <f>IFERROR(($B12*$J$4*'Valuation Summary'!$C$14-'Valuation Summary'!$C$5)/'Valuation Summary'!$C$6,"-")</f>
        <v>-</v>
      </c>
    </row>
    <row r="13" spans="2:10" ht="15.75" customHeight="1" x14ac:dyDescent="0.25">
      <c r="B13" s="91">
        <v>250</v>
      </c>
      <c r="C13" s="82" t="str">
        <f>IFERROR(($B13*$C$4*'Valuation Summary'!$C$14-'Valuation Summary'!$C$5)/'Valuation Summary'!$C$6,"-")</f>
        <v>-</v>
      </c>
      <c r="D13" s="81" t="str">
        <f>IFERROR(($B13*$D$4*'Valuation Summary'!$C$14-'Valuation Summary'!$C$5)/'Valuation Summary'!$C$6,"-")</f>
        <v>-</v>
      </c>
      <c r="E13" s="82" t="str">
        <f>IFERROR(($B13*$E$4*'Valuation Summary'!$C$14-'Valuation Summary'!$C$5)/'Valuation Summary'!$C$6,"-")</f>
        <v>-</v>
      </c>
      <c r="F13" s="81" t="str">
        <f>IFERROR(($B13*$F$4*'Valuation Summary'!$C$14-'Valuation Summary'!$C$5)/'Valuation Summary'!$C$6,"-")</f>
        <v>-</v>
      </c>
      <c r="G13" s="82" t="str">
        <f>IFERROR(($B13*$G$4*'Valuation Summary'!$C$14-'Valuation Summary'!$C$5)/'Valuation Summary'!$C$6,"-")</f>
        <v>-</v>
      </c>
      <c r="H13" s="81" t="str">
        <f>IFERROR(($B13*$H$4*'Valuation Summary'!$C$14-'Valuation Summary'!$C$5)/'Valuation Summary'!$C$6,"-")</f>
        <v>-</v>
      </c>
      <c r="I13" s="82" t="str">
        <f>IFERROR(($B13*$I$4*'Valuation Summary'!$C$14-'Valuation Summary'!$C$5)/'Valuation Summary'!$C$6,"-")</f>
        <v>-</v>
      </c>
      <c r="J13" s="81" t="str">
        <f>IFERROR(($B13*$J$4*'Valuation Summary'!$C$14-'Valuation Summary'!$C$5)/'Valuation Summary'!$C$6,"-")</f>
        <v>-</v>
      </c>
    </row>
    <row r="16" spans="2:10" ht="15.75" customHeight="1" x14ac:dyDescent="0.25">
      <c r="B16" s="11" t="s">
        <v>179</v>
      </c>
      <c r="C16" s="12"/>
      <c r="D16" s="12"/>
      <c r="E16" s="12"/>
      <c r="F16" s="12"/>
      <c r="G16" s="12"/>
      <c r="H16" s="12"/>
      <c r="I16" s="12"/>
      <c r="J16" s="13"/>
    </row>
    <row r="17" spans="2:10" ht="15.75" customHeight="1" x14ac:dyDescent="0.25">
      <c r="B17" s="88" t="s">
        <v>180</v>
      </c>
      <c r="C17" s="89">
        <v>1</v>
      </c>
      <c r="D17" s="89">
        <v>1.5</v>
      </c>
      <c r="E17" s="89">
        <v>2</v>
      </c>
      <c r="F17" s="89">
        <v>2.5</v>
      </c>
      <c r="G17" s="89">
        <v>3</v>
      </c>
      <c r="H17" s="89">
        <v>3.5</v>
      </c>
      <c r="I17" s="89">
        <v>4</v>
      </c>
      <c r="J17" s="89">
        <v>5</v>
      </c>
    </row>
    <row r="18" spans="2:10" ht="15.75" customHeight="1" x14ac:dyDescent="0.25">
      <c r="B18" s="90" t="s">
        <v>181</v>
      </c>
    </row>
    <row r="19" spans="2:10" ht="15.75" customHeight="1" x14ac:dyDescent="0.25">
      <c r="B19" s="91">
        <v>100</v>
      </c>
      <c r="C19" s="81" t="str">
        <f>IFERROR(($B19*$C$17*'Valuation Summary'!$C$14-'Valuation Summary'!$C$5)/'Valuation Summary'!$C$6,"-")</f>
        <v>-</v>
      </c>
      <c r="D19" s="82" t="str">
        <f>IFERROR(($B19*$D$17*'Valuation Summary'!$C$14-'Valuation Summary'!$C$5)/'Valuation Summary'!$C$6,"-")</f>
        <v>-</v>
      </c>
      <c r="E19" s="81" t="str">
        <f>IFERROR(($B19*$E$17*'Valuation Summary'!$C$14-'Valuation Summary'!$C$5)/'Valuation Summary'!$C$6,"-")</f>
        <v>-</v>
      </c>
      <c r="F19" s="82" t="str">
        <f>IFERROR(($B19*$F$17*'Valuation Summary'!$C$14-'Valuation Summary'!$C$5)/'Valuation Summary'!$C$6,"-")</f>
        <v>-</v>
      </c>
      <c r="G19" s="81" t="str">
        <f>IFERROR(($B19*$G$17*'Valuation Summary'!$C$14-'Valuation Summary'!$C$5)/'Valuation Summary'!$C$6,"-")</f>
        <v>-</v>
      </c>
      <c r="H19" s="82" t="str">
        <f>IFERROR(($B19*$H$17*'Valuation Summary'!$C$14-'Valuation Summary'!$C$5)/'Valuation Summary'!$C$6,"-")</f>
        <v>-</v>
      </c>
      <c r="I19" s="81" t="str">
        <f>IFERROR(($B19*$I$17*'Valuation Summary'!$C$14-'Valuation Summary'!$C$5)/'Valuation Summary'!$C$6,"-")</f>
        <v>-</v>
      </c>
      <c r="J19" s="82" t="str">
        <f>IFERROR(($B19*$J$17*'Valuation Summary'!$C$14-'Valuation Summary'!$C$5)/'Valuation Summary'!$C$6,"-")</f>
        <v>-</v>
      </c>
    </row>
    <row r="20" spans="2:10" ht="15.75" customHeight="1" x14ac:dyDescent="0.25">
      <c r="B20" s="91">
        <v>150</v>
      </c>
      <c r="C20" s="82" t="str">
        <f>IFERROR(($B20*$C$17*'Valuation Summary'!$C$14-'Valuation Summary'!$C$5)/'Valuation Summary'!$C$6,"-")</f>
        <v>-</v>
      </c>
      <c r="D20" s="81" t="str">
        <f>IFERROR(($B20*$D$17*'Valuation Summary'!$C$14-'Valuation Summary'!$C$5)/'Valuation Summary'!$C$6,"-")</f>
        <v>-</v>
      </c>
      <c r="E20" s="82" t="str">
        <f>IFERROR(($B20*$E$17*'Valuation Summary'!$C$14-'Valuation Summary'!$C$5)/'Valuation Summary'!$C$6,"-")</f>
        <v>-</v>
      </c>
      <c r="F20" s="81" t="str">
        <f>IFERROR(($B20*$F$17*'Valuation Summary'!$C$14-'Valuation Summary'!$C$5)/'Valuation Summary'!$C$6,"-")</f>
        <v>-</v>
      </c>
      <c r="G20" s="82" t="str">
        <f>IFERROR(($B20*$G$17*'Valuation Summary'!$C$14-'Valuation Summary'!$C$5)/'Valuation Summary'!$C$6,"-")</f>
        <v>-</v>
      </c>
      <c r="H20" s="81" t="str">
        <f>IFERROR(($B20*$H$17*'Valuation Summary'!$C$14-'Valuation Summary'!$C$5)/'Valuation Summary'!$C$6,"-")</f>
        <v>-</v>
      </c>
      <c r="I20" s="82" t="str">
        <f>IFERROR(($B20*$I$17*'Valuation Summary'!$C$14-'Valuation Summary'!$C$5)/'Valuation Summary'!$C$6,"-")</f>
        <v>-</v>
      </c>
      <c r="J20" s="81" t="str">
        <f>IFERROR(($B20*$J$17*'Valuation Summary'!$C$14-'Valuation Summary'!$C$5)/'Valuation Summary'!$C$6,"-")</f>
        <v>-</v>
      </c>
    </row>
    <row r="21" spans="2:10" ht="15.75" customHeight="1" x14ac:dyDescent="0.25">
      <c r="B21" s="91">
        <v>200</v>
      </c>
      <c r="C21" s="81" t="str">
        <f>IFERROR(($B21*$C$17*'Valuation Summary'!$C$14-'Valuation Summary'!$C$5)/'Valuation Summary'!$C$6,"-")</f>
        <v>-</v>
      </c>
      <c r="D21" s="82" t="str">
        <f>IFERROR(($B21*$D$17*'Valuation Summary'!$C$14-'Valuation Summary'!$C$5)/'Valuation Summary'!$C$6,"-")</f>
        <v>-</v>
      </c>
      <c r="E21" s="81" t="str">
        <f>IFERROR(($B21*$E$17*'Valuation Summary'!$C$14-'Valuation Summary'!$C$5)/'Valuation Summary'!$C$6,"-")</f>
        <v>-</v>
      </c>
      <c r="F21" s="82" t="str">
        <f>IFERROR(($B21*$F$17*'Valuation Summary'!$C$14-'Valuation Summary'!$C$5)/'Valuation Summary'!$C$6,"-")</f>
        <v>-</v>
      </c>
      <c r="G21" s="81" t="str">
        <f>IFERROR(($B21*$G$17*'Valuation Summary'!$C$14-'Valuation Summary'!$C$5)/'Valuation Summary'!$C$6,"-")</f>
        <v>-</v>
      </c>
      <c r="H21" s="82" t="str">
        <f>IFERROR(($B21*$H$17*'Valuation Summary'!$C$14-'Valuation Summary'!$C$5)/'Valuation Summary'!$C$6,"-")</f>
        <v>-</v>
      </c>
      <c r="I21" s="81" t="str">
        <f>IFERROR(($B21*$I$17*'Valuation Summary'!$C$14-'Valuation Summary'!$C$5)/'Valuation Summary'!$C$6,"-")</f>
        <v>-</v>
      </c>
      <c r="J21" s="82" t="str">
        <f>IFERROR(($B21*$J$17*'Valuation Summary'!$C$14-'Valuation Summary'!$C$5)/'Valuation Summary'!$C$6,"-")</f>
        <v>-</v>
      </c>
    </row>
    <row r="22" spans="2:10" ht="15.75" customHeight="1" x14ac:dyDescent="0.25">
      <c r="B22" s="91">
        <v>250</v>
      </c>
      <c r="C22" s="82" t="str">
        <f>IFERROR(($B22*$C$17*'Valuation Summary'!$C$14-'Valuation Summary'!$C$5)/'Valuation Summary'!$C$6,"-")</f>
        <v>-</v>
      </c>
      <c r="D22" s="81" t="str">
        <f>IFERROR(($B22*$D$17*'Valuation Summary'!$C$14-'Valuation Summary'!$C$5)/'Valuation Summary'!$C$6,"-")</f>
        <v>-</v>
      </c>
      <c r="E22" s="82" t="str">
        <f>IFERROR(($B22*$E$17*'Valuation Summary'!$C$14-'Valuation Summary'!$C$5)/'Valuation Summary'!$C$6,"-")</f>
        <v>-</v>
      </c>
      <c r="F22" s="81" t="str">
        <f>IFERROR(($B22*$F$17*'Valuation Summary'!$C$14-'Valuation Summary'!$C$5)/'Valuation Summary'!$C$6,"-")</f>
        <v>-</v>
      </c>
      <c r="G22" s="82" t="str">
        <f>IFERROR(($B22*$G$17*'Valuation Summary'!$C$14-'Valuation Summary'!$C$5)/'Valuation Summary'!$C$6,"-")</f>
        <v>-</v>
      </c>
      <c r="H22" s="81" t="str">
        <f>IFERROR(($B22*$H$17*'Valuation Summary'!$C$14-'Valuation Summary'!$C$5)/'Valuation Summary'!$C$6,"-")</f>
        <v>-</v>
      </c>
      <c r="I22" s="82" t="str">
        <f>IFERROR(($B22*$I$17*'Valuation Summary'!$C$14-'Valuation Summary'!$C$5)/'Valuation Summary'!$C$6,"-")</f>
        <v>-</v>
      </c>
      <c r="J22" s="81" t="str">
        <f>IFERROR(($B22*$J$17*'Valuation Summary'!$C$14-'Valuation Summary'!$C$5)/'Valuation Summary'!$C$6,"-")</f>
        <v>-</v>
      </c>
    </row>
    <row r="23" spans="2:10" ht="15.75" customHeight="1" x14ac:dyDescent="0.25">
      <c r="B23" s="91">
        <v>300</v>
      </c>
      <c r="C23" s="81" t="str">
        <f>IFERROR(($B23*$C$17*'Valuation Summary'!$C$14-'Valuation Summary'!$C$5)/'Valuation Summary'!$C$6,"-")</f>
        <v>-</v>
      </c>
      <c r="D23" s="82" t="str">
        <f>IFERROR(($B23*$D$17*'Valuation Summary'!$C$14-'Valuation Summary'!$C$5)/'Valuation Summary'!$C$6,"-")</f>
        <v>-</v>
      </c>
      <c r="E23" s="81" t="str">
        <f>IFERROR(($B23*$E$17*'Valuation Summary'!$C$14-'Valuation Summary'!$C$5)/'Valuation Summary'!$C$6,"-")</f>
        <v>-</v>
      </c>
      <c r="F23" s="82" t="str">
        <f>IFERROR(($B23*$F$17*'Valuation Summary'!$C$14-'Valuation Summary'!$C$5)/'Valuation Summary'!$C$6,"-")</f>
        <v>-</v>
      </c>
      <c r="G23" s="81" t="str">
        <f>IFERROR(($B23*$G$17*'Valuation Summary'!$C$14-'Valuation Summary'!$C$5)/'Valuation Summary'!$C$6,"-")</f>
        <v>-</v>
      </c>
      <c r="H23" s="82" t="str">
        <f>IFERROR(($B23*$H$17*'Valuation Summary'!$C$14-'Valuation Summary'!$C$5)/'Valuation Summary'!$C$6,"-")</f>
        <v>-</v>
      </c>
      <c r="I23" s="81" t="str">
        <f>IFERROR(($B23*$I$17*'Valuation Summary'!$C$14-'Valuation Summary'!$C$5)/'Valuation Summary'!$C$6,"-")</f>
        <v>-</v>
      </c>
      <c r="J23" s="82" t="str">
        <f>IFERROR(($B23*$J$17*'Valuation Summary'!$C$14-'Valuation Summary'!$C$5)/'Valuation Summary'!$C$6,"-")</f>
        <v>-</v>
      </c>
    </row>
    <row r="24" spans="2:10" ht="15.75" customHeight="1" x14ac:dyDescent="0.25">
      <c r="B24" s="91">
        <v>350</v>
      </c>
      <c r="C24" s="82" t="str">
        <f>IFERROR(($B24*$C$17*'Valuation Summary'!$C$14-'Valuation Summary'!$C$5)/'Valuation Summary'!$C$6,"-")</f>
        <v>-</v>
      </c>
      <c r="D24" s="81" t="str">
        <f>IFERROR(($B24*$D$17*'Valuation Summary'!$C$14-'Valuation Summary'!$C$5)/'Valuation Summary'!$C$6,"-")</f>
        <v>-</v>
      </c>
      <c r="E24" s="82" t="str">
        <f>IFERROR(($B24*$E$17*'Valuation Summary'!$C$14-'Valuation Summary'!$C$5)/'Valuation Summary'!$C$6,"-")</f>
        <v>-</v>
      </c>
      <c r="F24" s="81" t="str">
        <f>IFERROR(($B24*$F$17*'Valuation Summary'!$C$14-'Valuation Summary'!$C$5)/'Valuation Summary'!$C$6,"-")</f>
        <v>-</v>
      </c>
      <c r="G24" s="82" t="str">
        <f>IFERROR(($B24*$G$17*'Valuation Summary'!$C$14-'Valuation Summary'!$C$5)/'Valuation Summary'!$C$6,"-")</f>
        <v>-</v>
      </c>
      <c r="H24" s="81" t="str">
        <f>IFERROR(($B24*$H$17*'Valuation Summary'!$C$14-'Valuation Summary'!$C$5)/'Valuation Summary'!$C$6,"-")</f>
        <v>-</v>
      </c>
      <c r="I24" s="82" t="str">
        <f>IFERROR(($B24*$I$17*'Valuation Summary'!$C$14-'Valuation Summary'!$C$5)/'Valuation Summary'!$C$6,"-")</f>
        <v>-</v>
      </c>
      <c r="J24" s="81" t="str">
        <f>IFERROR(($B24*$J$17*'Valuation Summary'!$C$14-'Valuation Summary'!$C$5)/'Valuation Summary'!$C$6,"-")</f>
        <v>-</v>
      </c>
    </row>
    <row r="25" spans="2:10" ht="15.75" customHeight="1" x14ac:dyDescent="0.25">
      <c r="B25" s="91">
        <v>400</v>
      </c>
      <c r="C25" s="81" t="str">
        <f>IFERROR(($B25*$C$17*'Valuation Summary'!$C$14-'Valuation Summary'!$C$5)/'Valuation Summary'!$C$6,"-")</f>
        <v>-</v>
      </c>
      <c r="D25" s="82" t="str">
        <f>IFERROR(($B25*$D$17*'Valuation Summary'!$C$14-'Valuation Summary'!$C$5)/'Valuation Summary'!$C$6,"-")</f>
        <v>-</v>
      </c>
      <c r="E25" s="81" t="str">
        <f>IFERROR(($B25*$E$17*'Valuation Summary'!$C$14-'Valuation Summary'!$C$5)/'Valuation Summary'!$C$6,"-")</f>
        <v>-</v>
      </c>
      <c r="F25" s="82" t="str">
        <f>IFERROR(($B25*$F$17*'Valuation Summary'!$C$14-'Valuation Summary'!$C$5)/'Valuation Summary'!$C$6,"-")</f>
        <v>-</v>
      </c>
      <c r="G25" s="81" t="str">
        <f>IFERROR(($B25*$G$17*'Valuation Summary'!$C$14-'Valuation Summary'!$C$5)/'Valuation Summary'!$C$6,"-")</f>
        <v>-</v>
      </c>
      <c r="H25" s="82" t="str">
        <f>IFERROR(($B25*$H$17*'Valuation Summary'!$C$14-'Valuation Summary'!$C$5)/'Valuation Summary'!$C$6,"-")</f>
        <v>-</v>
      </c>
      <c r="I25" s="81" t="str">
        <f>IFERROR(($B25*$I$17*'Valuation Summary'!$C$14-'Valuation Summary'!$C$5)/'Valuation Summary'!$C$6,"-")</f>
        <v>-</v>
      </c>
      <c r="J25" s="82" t="str">
        <f>IFERROR(($B25*$J$17*'Valuation Summary'!$C$14-'Valuation Summary'!$C$5)/'Valuation Summary'!$C$6,"-")</f>
        <v>-</v>
      </c>
    </row>
    <row r="26" spans="2:10" ht="15.75" customHeight="1" x14ac:dyDescent="0.25">
      <c r="B26" s="91">
        <v>500</v>
      </c>
      <c r="C26" s="82" t="str">
        <f>IFERROR(($B26*$C$17*'Valuation Summary'!$C$14-'Valuation Summary'!$C$5)/'Valuation Summary'!$C$6,"-")</f>
        <v>-</v>
      </c>
      <c r="D26" s="81" t="str">
        <f>IFERROR(($B26*$D$17*'Valuation Summary'!$C$14-'Valuation Summary'!$C$5)/'Valuation Summary'!$C$6,"-")</f>
        <v>-</v>
      </c>
      <c r="E26" s="82" t="str">
        <f>IFERROR(($B26*$E$17*'Valuation Summary'!$C$14-'Valuation Summary'!$C$5)/'Valuation Summary'!$C$6,"-")</f>
        <v>-</v>
      </c>
      <c r="F26" s="81" t="str">
        <f>IFERROR(($B26*$F$17*'Valuation Summary'!$C$14-'Valuation Summary'!$C$5)/'Valuation Summary'!$C$6,"-")</f>
        <v>-</v>
      </c>
      <c r="G26" s="82" t="str">
        <f>IFERROR(($B26*$G$17*'Valuation Summary'!$C$14-'Valuation Summary'!$C$5)/'Valuation Summary'!$C$6,"-")</f>
        <v>-</v>
      </c>
      <c r="H26" s="81" t="str">
        <f>IFERROR(($B26*$H$17*'Valuation Summary'!$C$14-'Valuation Summary'!$C$5)/'Valuation Summary'!$C$6,"-")</f>
        <v>-</v>
      </c>
      <c r="I26" s="82" t="str">
        <f>IFERROR(($B26*$I$17*'Valuation Summary'!$C$14-'Valuation Summary'!$C$5)/'Valuation Summary'!$C$6,"-")</f>
        <v>-</v>
      </c>
      <c r="J26" s="81" t="str">
        <f>IFERROR(($B26*$J$17*'Valuation Summary'!$C$14-'Valuation Summary'!$C$5)/'Valuation Summary'!$C$6,"-")</f>
        <v>-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Comps Inputs</vt:lpstr>
      <vt:lpstr>TSM Module</vt:lpstr>
      <vt:lpstr>Trading Comps</vt:lpstr>
      <vt:lpstr>Valuation Summary</vt:lpstr>
      <vt:lpstr>Football Field</vt:lpstr>
      <vt:lpstr>Sensitivity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Kuldeep Pandey</cp:lastModifiedBy>
  <cp:revision>0</cp:revision>
  <dcterms:created xsi:type="dcterms:W3CDTF">2026-06-19T07:00:36Z</dcterms:created>
  <dcterms:modified xsi:type="dcterms:W3CDTF">2026-07-03T20:08:40Z</dcterms:modified>
  <dc:language>en-US</dc:language>
</cp:coreProperties>
</file>
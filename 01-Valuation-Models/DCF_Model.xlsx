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kkahp\OneDrive\Desktop\Models\GITHUB MODELS\"/>
    </mc:Choice>
  </mc:AlternateContent>
  <xr:revisionPtr revIDLastSave="0" documentId="13_ncr:1_{2CA724CB-55D7-4347-A04F-07741870631A}" xr6:coauthVersionLast="47" xr6:coauthVersionMax="47" xr10:uidLastSave="{00000000-0000-0000-0000-000000000000}"/>
  <bookViews>
    <workbookView xWindow="-120" yWindow="-120" windowWidth="29040" windowHeight="16440" tabRatio="500" activeTab="5" xr2:uid="{00000000-000D-0000-FFFF-FFFF00000000}"/>
  </bookViews>
  <sheets>
    <sheet name="Cover" sheetId="1" r:id="rId1"/>
    <sheet name="Assumptions" sheetId="2" r:id="rId2"/>
    <sheet name="WACC" sheetId="3" r:id="rId3"/>
    <sheet name="DCF Valuation" sheetId="4" r:id="rId4"/>
    <sheet name="Sensitivity" sheetId="5" r:id="rId5"/>
    <sheet name="Support" sheetId="6" r:id="rId6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6" i="6" l="1"/>
  <c r="C23" i="6"/>
  <c r="G23" i="6"/>
  <c r="F23" i="6"/>
  <c r="E23" i="6"/>
  <c r="D23" i="6"/>
  <c r="G22" i="6"/>
  <c r="F22" i="6"/>
  <c r="E22" i="6"/>
  <c r="D22" i="6"/>
  <c r="C22" i="6"/>
  <c r="D19" i="6"/>
  <c r="C7" i="6"/>
  <c r="C46" i="4"/>
  <c r="C44" i="4"/>
  <c r="C42" i="4"/>
  <c r="C41" i="4"/>
  <c r="C40" i="4"/>
  <c r="C30" i="4"/>
  <c r="C25" i="4"/>
  <c r="G20" i="4"/>
  <c r="F20" i="4"/>
  <c r="E20" i="4"/>
  <c r="D20" i="4"/>
  <c r="C20" i="4"/>
  <c r="C15" i="4"/>
  <c r="C5" i="4"/>
  <c r="D17" i="3"/>
  <c r="D16" i="3"/>
  <c r="D14" i="3"/>
  <c r="D10" i="3"/>
  <c r="D6" i="2"/>
  <c r="C17" i="6"/>
  <c r="C11" i="6"/>
  <c r="C5" i="6"/>
  <c r="C7" i="4" l="1"/>
  <c r="C12" i="4" s="1"/>
  <c r="C13" i="4"/>
  <c r="D27" i="1"/>
  <c r="D7" i="6"/>
  <c r="D7" i="4" s="1"/>
  <c r="D12" i="4"/>
  <c r="D28" i="1"/>
  <c r="D24" i="1"/>
  <c r="D6" i="6"/>
  <c r="D11" i="6"/>
  <c r="C24" i="6"/>
  <c r="D13" i="6"/>
  <c r="C13" i="6"/>
  <c r="D12" i="6"/>
  <c r="C12" i="6"/>
  <c r="D9" i="6"/>
  <c r="C9" i="6"/>
  <c r="C8" i="6"/>
  <c r="D19" i="4"/>
  <c r="D21" i="4" s="1"/>
  <c r="C19" i="4"/>
  <c r="C21" i="4" s="1"/>
  <c r="C6" i="4"/>
  <c r="C8" i="4" s="1"/>
  <c r="C9" i="4" s="1"/>
  <c r="D5" i="4"/>
  <c r="D13" i="4" s="1"/>
  <c r="D18" i="3"/>
  <c r="E6" i="2"/>
  <c r="E6" i="6" l="1"/>
  <c r="E7" i="6"/>
  <c r="E7" i="4" s="1"/>
  <c r="E12" i="4" s="1"/>
  <c r="C10" i="4"/>
  <c r="D24" i="6"/>
  <c r="E19" i="6"/>
  <c r="D20" i="3"/>
  <c r="D19" i="3"/>
  <c r="D14" i="6"/>
  <c r="D15" i="6"/>
  <c r="C14" i="6"/>
  <c r="C15" i="6"/>
  <c r="D8" i="6"/>
  <c r="D5" i="6"/>
  <c r="D6" i="4"/>
  <c r="D8" i="4" s="1"/>
  <c r="F6" i="2"/>
  <c r="E5" i="4"/>
  <c r="E13" i="4" s="1"/>
  <c r="E9" i="6"/>
  <c r="E11" i="6"/>
  <c r="D22" i="3" l="1"/>
  <c r="D26" i="1" s="1"/>
  <c r="C17" i="4"/>
  <c r="C22" i="4" s="1"/>
  <c r="F6" i="6"/>
  <c r="F7" i="6"/>
  <c r="F7" i="4" s="1"/>
  <c r="F12" i="4" s="1"/>
  <c r="F19" i="6"/>
  <c r="E19" i="4"/>
  <c r="E21" i="4" s="1"/>
  <c r="E24" i="6"/>
  <c r="E8" i="6"/>
  <c r="E5" i="6"/>
  <c r="G6" i="2"/>
  <c r="F5" i="4"/>
  <c r="F13" i="4" s="1"/>
  <c r="F9" i="6"/>
  <c r="F11" i="6"/>
  <c r="E6" i="4"/>
  <c r="E8" i="4" s="1"/>
  <c r="E12" i="6"/>
  <c r="E13" i="6"/>
  <c r="C21" i="2"/>
  <c r="D9" i="4"/>
  <c r="D16" i="6"/>
  <c r="C16" i="6"/>
  <c r="C14" i="4" s="1"/>
  <c r="G6" i="6" l="1"/>
  <c r="G7" i="6"/>
  <c r="G7" i="4" s="1"/>
  <c r="G12" i="4" s="1"/>
  <c r="G19" i="6"/>
  <c r="F19" i="4"/>
  <c r="F21" i="4" s="1"/>
  <c r="F24" i="6"/>
  <c r="F8" i="6"/>
  <c r="F5" i="6"/>
  <c r="G5" i="4"/>
  <c r="G13" i="4" s="1"/>
  <c r="G9" i="6"/>
  <c r="G11" i="6"/>
  <c r="F6" i="4"/>
  <c r="F8" i="4" s="1"/>
  <c r="F12" i="6"/>
  <c r="F13" i="6"/>
  <c r="E14" i="6"/>
  <c r="E15" i="6"/>
  <c r="D17" i="6"/>
  <c r="D14" i="4"/>
  <c r="D15" i="4" s="1"/>
  <c r="E9" i="4"/>
  <c r="G19" i="4" l="1"/>
  <c r="G21" i="4" s="1"/>
  <c r="G24" i="6"/>
  <c r="D10" i="4"/>
  <c r="D17" i="4" s="1"/>
  <c r="D22" i="4" s="1"/>
  <c r="G8" i="6"/>
  <c r="G5" i="6"/>
  <c r="G6" i="4"/>
  <c r="G8" i="4" s="1"/>
  <c r="G12" i="6"/>
  <c r="G13" i="6"/>
  <c r="F14" i="6"/>
  <c r="F16" i="6" s="1"/>
  <c r="F15" i="6"/>
  <c r="F9" i="4"/>
  <c r="E16" i="6"/>
  <c r="E10" i="4" l="1"/>
  <c r="G9" i="4"/>
  <c r="C31" i="4"/>
  <c r="C32" i="4" s="1"/>
  <c r="G14" i="6"/>
  <c r="G15" i="6"/>
  <c r="E14" i="4"/>
  <c r="E15" i="4" s="1"/>
  <c r="E17" i="6"/>
  <c r="F17" i="6"/>
  <c r="F14" i="4"/>
  <c r="E17" i="4" l="1"/>
  <c r="E22" i="4" s="1"/>
  <c r="G16" i="6"/>
  <c r="C33" i="4"/>
  <c r="G17" i="6"/>
  <c r="G14" i="4"/>
  <c r="G15" i="4" s="1"/>
  <c r="F10" i="4"/>
  <c r="F15" i="4"/>
  <c r="G10" i="4" l="1"/>
  <c r="G17" i="4"/>
  <c r="F17" i="4"/>
  <c r="F22" i="4" s="1"/>
  <c r="C26" i="4" l="1"/>
  <c r="C27" i="4" s="1"/>
  <c r="C28" i="4" s="1"/>
  <c r="C34" i="4" s="1"/>
  <c r="G22" i="4"/>
  <c r="C23" i="4" s="1"/>
  <c r="C35" i="4"/>
  <c r="C36" i="4" s="1"/>
  <c r="C50" i="4" l="1"/>
  <c r="C37" i="4"/>
  <c r="D29" i="1" s="1"/>
  <c r="C53" i="4"/>
  <c r="C52" i="4"/>
  <c r="C51" i="4"/>
  <c r="C49" i="4"/>
  <c r="C39" i="4"/>
  <c r="C43" i="4" l="1"/>
  <c r="D22" i="1" s="1"/>
  <c r="D21" i="1"/>
  <c r="C54" i="4" l="1"/>
  <c r="D23" i="1" s="1"/>
  <c r="C45" i="4"/>
  <c r="C47" i="4" l="1"/>
  <c r="D25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Kuldeep Pandey</author>
  </authors>
  <commentList>
    <comment ref="B6" authorId="0" shapeId="0" xr:uid="{97985204-125A-479F-A95F-F08D6EF85048}">
      <text>
        <r>
          <rPr>
            <b/>
            <sz val="9"/>
            <color indexed="81"/>
            <rFont val="Tahoma"/>
            <family val="2"/>
          </rPr>
          <t>Use 10-yr Treasury or Bloomberg</t>
        </r>
      </text>
    </comment>
    <comment ref="B7" authorId="0" shapeId="0" xr:uid="{C3A239B7-6D35-4873-A47B-EA901B971272}">
      <text>
        <r>
          <rPr>
            <b/>
            <sz val="9"/>
            <color indexed="81"/>
            <rFont val="Tahoma"/>
            <family val="2"/>
          </rPr>
          <t>Damodaran implied ERP</t>
        </r>
      </text>
    </comment>
    <comment ref="B8" authorId="0" shapeId="0" xr:uid="{2F5E72E1-B2E6-4509-9C75-616BF0DF717B}">
      <text>
        <r>
          <rPr>
            <b/>
            <sz val="9"/>
            <color indexed="81"/>
            <rFont val="Tahoma"/>
            <family val="2"/>
          </rPr>
          <t>Bloomberg 5-yr Monthly</t>
        </r>
      </text>
    </comment>
    <comment ref="B9" authorId="0" shapeId="0" xr:uid="{28E0954A-F8F4-4DEB-8709-2D5E7FD216F5}">
      <text>
        <r>
          <rPr>
            <b/>
            <sz val="9"/>
            <color indexed="81"/>
            <rFont val="Tahoma"/>
            <family val="2"/>
          </rPr>
          <t>If it’s a Large Cap company , set this to 0</t>
        </r>
      </text>
    </comment>
    <comment ref="B10" authorId="0" shapeId="0" xr:uid="{5990E4B8-2059-4A5C-BF72-706FEA0E8B70}">
      <text>
        <r>
          <rPr>
            <b/>
            <sz val="9"/>
            <color indexed="81"/>
            <rFont val="Tahoma"/>
            <family val="2"/>
          </rPr>
          <t>Rf + β×ERP + Size</t>
        </r>
      </text>
    </comment>
    <comment ref="B13" authorId="0" shapeId="0" xr:uid="{F5715DA6-53B0-42B2-BB15-E335E951EC4E}">
      <text>
        <r>
          <rPr>
            <b/>
            <sz val="9"/>
            <color indexed="81"/>
            <rFont val="Tahoma"/>
            <family val="2"/>
          </rPr>
          <t>Marginal / Blended Rate</t>
        </r>
      </text>
    </comment>
    <comment ref="B16" authorId="0" shapeId="0" xr:uid="{034037A6-B6C0-42EA-87C3-E8950C2DC976}">
      <text>
        <r>
          <rPr>
            <b/>
            <sz val="9"/>
            <color indexed="81"/>
            <rFont val="Tahoma"/>
            <family val="2"/>
          </rPr>
          <t xml:space="preserve">Shares * Price
</t>
        </r>
      </text>
    </comment>
    <comment ref="B19" authorId="0" shapeId="0" xr:uid="{2E140504-DAC9-43F0-B4EF-D4558A2CCE88}">
      <text>
        <r>
          <rPr>
            <b/>
            <sz val="9"/>
            <color indexed="81"/>
            <rFont val="Tahoma"/>
            <family val="2"/>
          </rPr>
          <t>Equity / Total Capital</t>
        </r>
      </text>
    </comment>
    <comment ref="B20" authorId="0" shapeId="0" xr:uid="{454BD41B-4544-4166-B248-81299D2A2FB1}">
      <text>
        <r>
          <rPr>
            <b/>
            <sz val="9"/>
            <color indexed="81"/>
            <rFont val="Tahoma"/>
            <family val="2"/>
          </rPr>
          <t>Debt / Total Captial</t>
        </r>
      </text>
    </comment>
  </commentList>
</comments>
</file>

<file path=xl/sharedStrings.xml><?xml version="1.0" encoding="utf-8"?>
<sst xmlns="http://schemas.openxmlformats.org/spreadsheetml/2006/main" count="173" uniqueCount="157">
  <si>
    <t>DISCOUNTED CASH FLOW VALUATION</t>
  </si>
  <si>
    <t>FCFF Model  ·  WACC  ·  GGM + Exit Multiple  ·  Sensitivity Analysis</t>
  </si>
  <si>
    <t>Company</t>
  </si>
  <si>
    <t>Analyst</t>
  </si>
  <si>
    <t>Valuation Date</t>
  </si>
  <si>
    <t>Currency</t>
  </si>
  <si>
    <t>USD ($mm)</t>
  </si>
  <si>
    <t>Fiscal Year End</t>
  </si>
  <si>
    <t>December 31</t>
  </si>
  <si>
    <t xml:space="preserve">  LIVE VALUATION SUMMARY</t>
  </si>
  <si>
    <t>Enterprise Value ($mm)</t>
  </si>
  <si>
    <t>Equity Value ($mm)</t>
  </si>
  <si>
    <t>DCF Price / Share  ($)</t>
  </si>
  <si>
    <t>Current Price ($)</t>
  </si>
  <si>
    <t>Implied Upside / (Downside)</t>
  </si>
  <si>
    <t>WACC</t>
  </si>
  <si>
    <t>Terminal Growth Rate</t>
  </si>
  <si>
    <t>EV/EBITDA Exit Multiple</t>
  </si>
  <si>
    <t>TV as % of EV</t>
  </si>
  <si>
    <t xml:space="preserve">  SHEET GUIDE</t>
  </si>
  <si>
    <t>Assumptions</t>
  </si>
  <si>
    <t>All blue-cell inputs: growth, margins, WACC drivers, bridge</t>
  </si>
  <si>
    <t>CAPM cost of equity, after-tax debt cost, capital structure</t>
  </si>
  <si>
    <t>DCF Valuation</t>
  </si>
  <si>
    <t>FCFF projection, GGM + Exit Multiple TV, equity bridge</t>
  </si>
  <si>
    <t>Sensitivity</t>
  </si>
  <si>
    <t>Table 1: WACC vs g  |  Table 2: WACC vs EV/EBITDA</t>
  </si>
  <si>
    <t>Support</t>
  </si>
  <si>
    <t>D&amp;A schedule, NWC waterfall, debt waterfall</t>
  </si>
  <si>
    <t>ASSUMPTION</t>
  </si>
  <si>
    <t>2025E</t>
  </si>
  <si>
    <t>2026E</t>
  </si>
  <si>
    <t>2027E</t>
  </si>
  <si>
    <t>2028E</t>
  </si>
  <si>
    <t>2029E</t>
  </si>
  <si>
    <t xml:space="preserve">  REVENUE</t>
  </si>
  <si>
    <t>Revenue — Base Year ($mm)</t>
  </si>
  <si>
    <t>YoY Revenue Growth (%)</t>
  </si>
  <si>
    <t xml:space="preserve">  PROFITABILITY</t>
  </si>
  <si>
    <t>EBITDA Margin (%)</t>
  </si>
  <si>
    <t>COGS Margin (% of Revenue)</t>
  </si>
  <si>
    <t>D&amp;A (% of Revenue)</t>
  </si>
  <si>
    <t>Capex (% of Revenue)</t>
  </si>
  <si>
    <t>Effective Tax Rate (%)</t>
  </si>
  <si>
    <t xml:space="preserve">  WORKING CAPITAL</t>
  </si>
  <si>
    <t>Days Sales Outstanding (DSO)</t>
  </si>
  <si>
    <t>Days Inventory Outstanding (DIO)</t>
  </si>
  <si>
    <t>Days Payable Outstanding (DPO)</t>
  </si>
  <si>
    <t xml:space="preserve">  TERMINAL VALUE &amp; DISCOUNT RATE</t>
  </si>
  <si>
    <t>Terminal Growth Rate — g (%)</t>
  </si>
  <si>
    <t>EV/EBITDA Exit Multiple (x)</t>
  </si>
  <si>
    <t>WACC — auto-calculated from WACC sheet</t>
  </si>
  <si>
    <t xml:space="preserve">  EQUITY BRIDGE</t>
  </si>
  <si>
    <t>Cash &amp; Equivalents ($mm)</t>
  </si>
  <si>
    <t>Total Debt ($mm)</t>
  </si>
  <si>
    <t>Minority Interest ($mm)</t>
  </si>
  <si>
    <t>Diluted Shares Outstanding (mm)</t>
  </si>
  <si>
    <t>Current Share Price ($)</t>
  </si>
  <si>
    <t>COMPONENT</t>
  </si>
  <si>
    <t>INPUT</t>
  </si>
  <si>
    <t>RESULT</t>
  </si>
  <si>
    <t xml:space="preserve">  COST OF EQUITY  —  CAPM</t>
  </si>
  <si>
    <t>Risk-Free Rate  (Rf)</t>
  </si>
  <si>
    <t>Equity Risk Premium  (ERP)</t>
  </si>
  <si>
    <t>Levered Beta  (β)</t>
  </si>
  <si>
    <t>Size / Company-Specific Premium</t>
  </si>
  <si>
    <t>Cost of Equity  [Ke]</t>
  </si>
  <si>
    <t xml:space="preserve">  COST OF DEBT</t>
  </si>
  <si>
    <t>Pre-Tax Cost of Debt  (Kd)</t>
  </si>
  <si>
    <t>Marginal Tax Rate</t>
  </si>
  <si>
    <t>After-Tax Cost of Debt  [Kd×(1−t)]</t>
  </si>
  <si>
    <t xml:space="preserve">  CAPITAL STRUCTURE  (MARKET VALUE WEIGHTS)</t>
  </si>
  <si>
    <t>Market Value of Equity  ($mm)</t>
  </si>
  <si>
    <t>Market Value of Debt  ($mm)</t>
  </si>
  <si>
    <t>Total Capital  ($mm)</t>
  </si>
  <si>
    <t>Weight of Equity  [E/(E+D)]</t>
  </si>
  <si>
    <t>Weight of Debt  [D/(E+D)]</t>
  </si>
  <si>
    <t xml:space="preserve">  WACC OUTPUT</t>
  </si>
  <si>
    <t>WACC  =  Ke×We + Kd×(1−t)×Wd</t>
  </si>
  <si>
    <t>DCF VALUATION  —  FREE CASH FLOW TO FIRM  (FCFF)</t>
  </si>
  <si>
    <t>LINE ITEM  ($mm)</t>
  </si>
  <si>
    <t xml:space="preserve">  INCOME STATEMENT BRIDGE</t>
  </si>
  <si>
    <t>Revenue  ($mm)</t>
  </si>
  <si>
    <t>EBITDA  ($mm)</t>
  </si>
  <si>
    <t>(-) Depreciation &amp; Amortization  ($mm)</t>
  </si>
  <si>
    <t>EBIT  ($mm)</t>
  </si>
  <si>
    <t>(-) Tax on EBIT  ($mm)</t>
  </si>
  <si>
    <t>NOPAT  = EBIT × (1 − Tax Rate)  ($mm)</t>
  </si>
  <si>
    <t xml:space="preserve">  FREE CASH FLOW ADJUSTMENTS</t>
  </si>
  <si>
    <t>(+) Add-back D&amp;A  ($mm)</t>
  </si>
  <si>
    <t>(-) Capital Expenditures  ($mm)</t>
  </si>
  <si>
    <t>Net Working Capital  ($mm)</t>
  </si>
  <si>
    <t>(-) Change in Net Working Capital  ($mm)</t>
  </si>
  <si>
    <t xml:space="preserve">  FREE CASH FLOW TO FIRM  (FCFF)</t>
  </si>
  <si>
    <t>FREE CASH FLOW TO FIRM  ($mm)</t>
  </si>
  <si>
    <t>WACC  (Discount Rate)</t>
  </si>
  <si>
    <t>Discount Period  (Mid-Year Convention)</t>
  </si>
  <si>
    <t>Discount Factor  [1/(1+WACC)^t]</t>
  </si>
  <si>
    <t>PV of FCFF  ($mm)</t>
  </si>
  <si>
    <t>Sum of PV of FCFFs  ($mm)</t>
  </si>
  <si>
    <t>Terminal Growth Rate  (g)</t>
  </si>
  <si>
    <t>Terminal Year FCFF  ($mm)</t>
  </si>
  <si>
    <t>Terminal Value — GGM  ($mm)</t>
  </si>
  <si>
    <t>PV of GGM Terminal Value  ($mm)</t>
  </si>
  <si>
    <t>EV/EBITDA Exit Multiple  (x)</t>
  </si>
  <si>
    <t>Terminal Year EBITDA  ($mm)</t>
  </si>
  <si>
    <t>Terminal Value — Exit Multiple  ($mm)</t>
  </si>
  <si>
    <t>PV of Exit Multiple TV  ($mm)</t>
  </si>
  <si>
    <t>Blended PV of TV  [avg GGM + Exit Multiple]  ($mm)</t>
  </si>
  <si>
    <t>Implied Perpetuity g  [Exit Multiple Cross-Check]</t>
  </si>
  <si>
    <t>TV as % of Enterprise Value  (sanity check)</t>
  </si>
  <si>
    <t>Enterprise Value  ($mm)</t>
  </si>
  <si>
    <t>(-) Total Debt  ($mm)</t>
  </si>
  <si>
    <t>(-) Minority Interest  ($mm)</t>
  </si>
  <si>
    <t>(+) Cash &amp; Equivalents  ($mm)</t>
  </si>
  <si>
    <t>Equity Value  ($mm)</t>
  </si>
  <si>
    <t>Diluted Shares Outstanding  (mm)</t>
  </si>
  <si>
    <t>EQUITY VALUE PER SHARE  ($)</t>
  </si>
  <si>
    <t>Current Share Price  ($)</t>
  </si>
  <si>
    <t>EV — Gordon Growth Model  ($mm)</t>
  </si>
  <si>
    <t>EV — Exit Multiple  ($mm)</t>
  </si>
  <si>
    <t>EV — Blended  ($mm)</t>
  </si>
  <si>
    <t>Price / Share — GGM  ($)</t>
  </si>
  <si>
    <t>Price / Share — Exit Multiple  ($)</t>
  </si>
  <si>
    <t xml:space="preserve">  TABLE 1  —  EQUITY VALUE / SHARE ($)  |  WACC  vs  TERMINAL GROWTH RATE  (GGM)</t>
  </si>
  <si>
    <t>WACC  ↓</t>
  </si>
  <si>
    <t xml:space="preserve">  TABLE 2  —  EQUITY VALUE / SHARE ($)  |  WACC  vs  EV/EBITDA EXIT MULTIPLE</t>
  </si>
  <si>
    <t xml:space="preserve">  DEPRECIATION &amp; AMORTIZATION SCHEDULE</t>
  </si>
  <si>
    <t>Opening PP&amp;E  (Net, $mm)</t>
  </si>
  <si>
    <t>Capex  ($mm)</t>
  </si>
  <si>
    <t>(-) Depreciation  ($mm)</t>
  </si>
  <si>
    <t>Closing PP&amp;E  (Net, $mm)</t>
  </si>
  <si>
    <t>Total D&amp;A  ($mm)</t>
  </si>
  <si>
    <t xml:space="preserve">  NET WORKING CAPITAL SCHEDULE</t>
  </si>
  <si>
    <t>COGS  ($mm)</t>
  </si>
  <si>
    <t>Accounts Receivable  ($mm)</t>
  </si>
  <si>
    <t>Inventory  ($mm)</t>
  </si>
  <si>
    <t>Accounts Payable  ($mm)</t>
  </si>
  <si>
    <t>Change in NWC  ($mm)</t>
  </si>
  <si>
    <t xml:space="preserve">  DEBT WATERFALL</t>
  </si>
  <si>
    <t>Opening Debt  ($mm)</t>
  </si>
  <si>
    <t>New Borrowings  ($mm)</t>
  </si>
  <si>
    <t>(-) Repayments  ($mm)</t>
  </si>
  <si>
    <t>Closing Debt  ($mm)</t>
  </si>
  <si>
    <t>Average Debt  ($mm)</t>
  </si>
  <si>
    <t>Interest Expense  ($mm)</t>
  </si>
  <si>
    <t xml:space="preserve"> Sanity Check  (implied g vs. long-run GDP)</t>
  </si>
  <si>
    <t>MODEL ASSUMPTIONS</t>
  </si>
  <si>
    <t>WACC - WEIGHTED AVERAGE COST OF CAPITAL</t>
  </si>
  <si>
    <t xml:space="preserve">  ENTERPRISE VALUE - EQUITY BRIDGE</t>
  </si>
  <si>
    <t xml:space="preserve">  VALUATION COMPARISON - GGM  vs  EXIT MULTIPLE  vs  BLENDED</t>
  </si>
  <si>
    <t xml:space="preserve">  Price / Share — Blended  ($)</t>
  </si>
  <si>
    <t xml:space="preserve">  TERMINAL VALUE - EV/EBITDA EXIT MULTIPLE  METHOD</t>
  </si>
  <si>
    <t xml:space="preserve">  TERMINAL VALUE - GORDON GROWTH MODEL  (GGM)</t>
  </si>
  <si>
    <t xml:space="preserve">  PRESENT VALUE - PROJECTED FCFFs</t>
  </si>
  <si>
    <t>SENSITIVITY - EQUITY VALUE PER SHARE  ($)</t>
  </si>
  <si>
    <t>SUPPORT SCHEDULES - D&amp;A  ·  NWC  ·  DEBT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</si>
</sst>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_);\(#,##0.0\);\-"/>
    <numFmt numFmtId="165" formatCode="\$#,##0.00_);&quot;($&quot;#,##0.00\);\-"/>
    <numFmt numFmtId="166" formatCode="0.0%;\(0.0%\);\-"/>
    <numFmt numFmtId="167" formatCode="0.0\x"/>
    <numFmt numFmtId="168" formatCode="0.0%"/>
    <numFmt numFmtId="169" formatCode="0.0"/>
    <numFmt numFmtId="170" formatCode="0.0000"/>
    <numFmt numFmtId="171" formatCode="#,##0.0"/>
  </numFmts>
  <fonts count="21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sz val="11"/>
      <name val="Calibri"/>
      <family val="2"/>
      <charset val="1"/>
    </font>
    <font>
      <b/>
      <sz val="15"/>
      <name val="Arial"/>
      <family val="2"/>
      <charset val="1"/>
    </font>
    <font>
      <b/>
      <sz val="9"/>
      <name val="Arial"/>
      <family val="2"/>
      <charset val="1"/>
    </font>
    <font>
      <b/>
      <sz val="10"/>
      <name val="Arial"/>
      <family val="2"/>
      <charset val="1"/>
    </font>
    <font>
      <sz val="9"/>
      <name val="Arial"/>
      <family val="2"/>
      <charset val="1"/>
    </font>
    <font>
      <i/>
      <sz val="10"/>
      <name val="Arial"/>
      <family val="2"/>
    </font>
    <font>
      <b/>
      <sz val="10"/>
      <name val="Arial"/>
      <family val="2"/>
    </font>
    <font>
      <i/>
      <sz val="9"/>
      <name val="Arial"/>
      <family val="2"/>
    </font>
    <font>
      <sz val="9"/>
      <name val="Arial"/>
      <family val="2"/>
    </font>
    <font>
      <b/>
      <sz val="22"/>
      <name val="Arial"/>
      <family val="2"/>
      <charset val="1"/>
    </font>
    <font>
      <i/>
      <sz val="12"/>
      <name val="Arial"/>
      <family val="2"/>
      <charset val="1"/>
    </font>
    <font>
      <sz val="10"/>
      <name val="Arial"/>
      <family val="2"/>
      <charset val="1"/>
    </font>
    <font>
      <b/>
      <sz val="13"/>
      <name val="Arial"/>
      <family val="2"/>
      <charset val="1"/>
    </font>
    <font>
      <b/>
      <i/>
      <sz val="10"/>
      <color theme="1" tint="0.499984740745262"/>
      <name val="Arial"/>
      <family val="2"/>
    </font>
    <font>
      <b/>
      <i/>
      <sz val="9"/>
      <color theme="1" tint="0.499984740745262"/>
      <name val="Arial"/>
      <family val="2"/>
    </font>
    <font>
      <i/>
      <sz val="9"/>
      <color theme="1" tint="0.499984740745262"/>
      <name val="Arial"/>
      <family val="2"/>
    </font>
    <font>
      <i/>
      <sz val="8"/>
      <name val="Arial"/>
      <family val="2"/>
      <charset val="1"/>
    </font>
    <font>
      <b/>
      <sz val="9"/>
      <color indexed="81"/>
      <name val="Tahoma"/>
      <family val="2"/>
    </font>
    <font>
      <i/>
      <sz val="9"/>
      <name val="Arial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35">
    <border>
      <left/>
      <right/>
      <top/>
      <bottom/>
      <diagonal/>
    </border>
    <border>
      <left style="thin">
        <color rgb="FFBDC3C7"/>
      </left>
      <right/>
      <top style="thin">
        <color rgb="FFBDC3C7"/>
      </top>
      <bottom style="thin">
        <color rgb="FFBDC3C7"/>
      </bottom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>
      <left style="medium">
        <color rgb="FF5DADE2"/>
      </left>
      <right style="medium">
        <color rgb="FF5DADE2"/>
      </right>
      <top style="medium">
        <color rgb="FF5DADE2"/>
      </top>
      <bottom style="medium">
        <color rgb="FF5DADE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indexed="64"/>
      </right>
      <top style="thin">
        <color theme="0" tint="-0.34998626667073579"/>
      </top>
      <bottom/>
      <diagonal/>
    </border>
    <border>
      <left style="thin">
        <color indexed="64"/>
      </left>
      <right style="thin">
        <color indexed="64"/>
      </right>
      <top style="thin">
        <color theme="0" tint="-0.34998626667073579"/>
      </top>
      <bottom/>
      <diagonal/>
    </border>
    <border>
      <left style="thin">
        <color indexed="64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indexed="64"/>
      </left>
      <right style="thin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 style="thin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rgb="FFBDC3C7"/>
      </left>
      <right style="thin">
        <color rgb="FFBDC3C7"/>
      </right>
      <top/>
      <bottom style="thin">
        <color rgb="FFBDC3C7"/>
      </bottom>
      <diagonal/>
    </border>
    <border>
      <left style="medium">
        <color rgb="FF5DADE2"/>
      </left>
      <right style="medium">
        <color rgb="FF5DADE2"/>
      </right>
      <top/>
      <bottom style="medium">
        <color rgb="FF5DADE2"/>
      </bottom>
      <diagonal/>
    </border>
    <border>
      <left style="thin">
        <color rgb="FFBDC3C7"/>
      </left>
      <right style="thin">
        <color rgb="FFBDC3C7"/>
      </right>
      <top style="thin">
        <color rgb="FFBDC3C7"/>
      </top>
      <bottom/>
      <diagonal/>
    </border>
    <border>
      <left style="medium">
        <color rgb="FF5DADE2"/>
      </left>
      <right style="medium">
        <color rgb="FF5DADE2"/>
      </right>
      <top style="medium">
        <color rgb="FF5DADE2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rgb="FFBDC3C7"/>
      </right>
      <top style="thin">
        <color rgb="FFBDC3C7"/>
      </top>
      <bottom style="thin">
        <color rgb="FFBDC3C7"/>
      </bottom>
      <diagonal/>
    </border>
    <border>
      <left/>
      <right style="thin">
        <color rgb="FFBDC3C7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DC3C7"/>
      </left>
      <right/>
      <top/>
      <bottom style="thin">
        <color rgb="FFBDC3C7"/>
      </bottom>
      <diagonal/>
    </border>
    <border>
      <left style="thin">
        <color rgb="FFBDC3C7"/>
      </left>
      <right/>
      <top style="thin">
        <color rgb="FFBDC3C7"/>
      </top>
      <bottom/>
      <diagonal/>
    </border>
    <border>
      <left style="thin">
        <color rgb="FFBDC3C7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BDC3C7"/>
      </left>
      <right style="thin">
        <color rgb="FFBDC3C7"/>
      </right>
      <top/>
      <bottom/>
      <diagonal/>
    </border>
    <border>
      <left/>
      <right style="thin">
        <color rgb="FFBDC3C7"/>
      </right>
      <top/>
      <bottom style="thin">
        <color rgb="FFBDC3C7"/>
      </bottom>
      <diagonal/>
    </border>
    <border>
      <left/>
      <right style="thin">
        <color rgb="FFBDC3C7"/>
      </right>
      <top style="thin">
        <color rgb="FFBDC3C7"/>
      </top>
      <bottom/>
      <diagonal/>
    </border>
    <border>
      <left/>
      <right style="medium">
        <color rgb="FF5DADE2"/>
      </right>
      <top/>
      <bottom style="medium">
        <color rgb="FF5DADE2"/>
      </bottom>
      <diagonal/>
    </border>
    <border>
      <left/>
      <right style="medium">
        <color rgb="FF5DADE2"/>
      </right>
      <top style="medium">
        <color rgb="FF5DADE2"/>
      </top>
      <bottom style="medium">
        <color rgb="FF5DADE2"/>
      </bottom>
      <diagonal/>
    </border>
  </borders>
  <cellStyleXfs count="1">
    <xf numFmtId="0" fontId="0" fillId="0" borderId="0"/>
  </cellStyleXfs>
  <cellXfs count="132">
    <xf numFmtId="0" fontId="0" fillId="0" borderId="0" xfId="0"/>
    <xf numFmtId="0" fontId="2" fillId="0" borderId="0" xfId="0" applyFont="1" applyFill="1"/>
    <xf numFmtId="0" fontId="5" fillId="0" borderId="0" xfId="0" applyFont="1" applyFill="1" applyAlignment="1">
      <alignment horizontal="left" vertical="center"/>
    </xf>
    <xf numFmtId="164" fontId="6" fillId="0" borderId="2" xfId="0" applyNumberFormat="1" applyFont="1" applyFill="1" applyBorder="1" applyAlignment="1">
      <alignment horizontal="right" vertical="center"/>
    </xf>
    <xf numFmtId="164" fontId="4" fillId="0" borderId="2" xfId="0" applyNumberFormat="1" applyFont="1" applyFill="1" applyBorder="1" applyAlignment="1">
      <alignment horizontal="right" vertical="center"/>
    </xf>
    <xf numFmtId="164" fontId="1" fillId="0" borderId="2" xfId="0" applyNumberFormat="1" applyFont="1" applyFill="1" applyBorder="1" applyAlignment="1">
      <alignment horizontal="right" vertical="center"/>
    </xf>
    <xf numFmtId="169" fontId="6" fillId="0" borderId="2" xfId="0" applyNumberFormat="1" applyFont="1" applyFill="1" applyBorder="1" applyAlignment="1">
      <alignment horizontal="right" vertical="center"/>
    </xf>
    <xf numFmtId="170" fontId="6" fillId="0" borderId="2" xfId="0" applyNumberFormat="1" applyFont="1" applyFill="1" applyBorder="1" applyAlignment="1">
      <alignment horizontal="right" vertical="center"/>
    </xf>
    <xf numFmtId="10" fontId="8" fillId="0" borderId="0" xfId="0" applyNumberFormat="1" applyFont="1" applyFill="1"/>
    <xf numFmtId="165" fontId="1" fillId="0" borderId="2" xfId="0" applyNumberFormat="1" applyFont="1" applyFill="1" applyBorder="1" applyAlignment="1">
      <alignment horizontal="right" vertical="center"/>
    </xf>
    <xf numFmtId="165" fontId="1" fillId="0" borderId="0" xfId="0" applyNumberFormat="1" applyFont="1" applyFill="1"/>
    <xf numFmtId="0" fontId="5" fillId="0" borderId="0" xfId="0" applyFont="1" applyFill="1" applyAlignment="1">
      <alignment vertical="center"/>
    </xf>
    <xf numFmtId="0" fontId="9" fillId="2" borderId="0" xfId="0" applyFont="1" applyFill="1"/>
    <xf numFmtId="0" fontId="10" fillId="2" borderId="0" xfId="0" applyFont="1" applyFill="1"/>
    <xf numFmtId="0" fontId="5" fillId="4" borderId="4" xfId="0" applyFont="1" applyFill="1" applyBorder="1" applyAlignment="1">
      <alignment horizontal="left" vertical="center"/>
    </xf>
    <xf numFmtId="0" fontId="13" fillId="3" borderId="4" xfId="0" applyFont="1" applyFill="1" applyBorder="1" applyAlignment="1">
      <alignment horizontal="left" vertical="center"/>
    </xf>
    <xf numFmtId="164" fontId="13" fillId="4" borderId="4" xfId="0" applyNumberFormat="1" applyFont="1" applyFill="1" applyBorder="1" applyAlignment="1">
      <alignment horizontal="right" vertical="center"/>
    </xf>
    <xf numFmtId="165" fontId="14" fillId="4" borderId="4" xfId="0" applyNumberFormat="1" applyFont="1" applyFill="1" applyBorder="1" applyAlignment="1">
      <alignment horizontal="right" vertical="center"/>
    </xf>
    <xf numFmtId="165" fontId="13" fillId="4" borderId="4" xfId="0" applyNumberFormat="1" applyFont="1" applyFill="1" applyBorder="1" applyAlignment="1">
      <alignment horizontal="right" vertical="center"/>
    </xf>
    <xf numFmtId="166" fontId="13" fillId="4" borderId="4" xfId="0" applyNumberFormat="1" applyFont="1" applyFill="1" applyBorder="1" applyAlignment="1">
      <alignment horizontal="right" vertical="center"/>
    </xf>
    <xf numFmtId="167" fontId="13" fillId="4" borderId="4" xfId="0" applyNumberFormat="1" applyFont="1" applyFill="1" applyBorder="1" applyAlignment="1">
      <alignment horizontal="right" vertical="center"/>
    </xf>
    <xf numFmtId="0" fontId="15" fillId="0" borderId="7" xfId="0" applyFont="1" applyFill="1" applyBorder="1" applyAlignment="1">
      <alignment horizontal="center" vertical="center"/>
    </xf>
    <xf numFmtId="0" fontId="15" fillId="0" borderId="8" xfId="0" applyFont="1" applyFill="1" applyBorder="1" applyAlignment="1">
      <alignment horizontal="center" vertical="center"/>
    </xf>
    <xf numFmtId="0" fontId="15" fillId="0" borderId="9" xfId="0" applyFont="1" applyFill="1" applyBorder="1" applyAlignment="1">
      <alignment horizontal="center" vertical="center"/>
    </xf>
    <xf numFmtId="0" fontId="16" fillId="0" borderId="12" xfId="0" applyFont="1" applyFill="1" applyBorder="1" applyAlignment="1">
      <alignment horizontal="center" vertical="center"/>
    </xf>
    <xf numFmtId="0" fontId="17" fillId="0" borderId="6" xfId="0" applyFont="1" applyFill="1" applyBorder="1" applyAlignment="1">
      <alignment horizontal="center" vertical="center"/>
    </xf>
    <xf numFmtId="0" fontId="17" fillId="0" borderId="11" xfId="0" applyFont="1" applyFill="1" applyBorder="1" applyAlignment="1">
      <alignment horizontal="center" vertical="center"/>
    </xf>
    <xf numFmtId="0" fontId="17" fillId="0" borderId="10" xfId="0" applyFont="1" applyFill="1" applyBorder="1" applyAlignment="1">
      <alignment horizontal="center" vertical="center"/>
    </xf>
    <xf numFmtId="0" fontId="16" fillId="0" borderId="13" xfId="0" applyFont="1" applyFill="1" applyBorder="1" applyAlignment="1">
      <alignment horizontal="center" vertical="center"/>
    </xf>
    <xf numFmtId="0" fontId="16" fillId="0" borderId="14" xfId="0" applyFont="1" applyFill="1" applyBorder="1" applyAlignment="1">
      <alignment horizontal="center" vertical="center"/>
    </xf>
    <xf numFmtId="0" fontId="16" fillId="0" borderId="5" xfId="0" applyFont="1" applyFill="1" applyBorder="1" applyAlignment="1">
      <alignment horizontal="center" vertical="center"/>
    </xf>
    <xf numFmtId="0" fontId="17" fillId="0" borderId="15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left" vertical="center"/>
    </xf>
    <xf numFmtId="0" fontId="13" fillId="3" borderId="5" xfId="0" applyFont="1" applyFill="1" applyBorder="1" applyAlignment="1">
      <alignment horizontal="left" vertical="center"/>
    </xf>
    <xf numFmtId="0" fontId="11" fillId="5" borderId="5" xfId="0" applyFont="1" applyFill="1" applyBorder="1" applyAlignment="1">
      <alignment horizontal="center" vertical="center"/>
    </xf>
    <xf numFmtId="0" fontId="12" fillId="5" borderId="5" xfId="0" applyFont="1" applyFill="1" applyBorder="1" applyAlignment="1">
      <alignment horizontal="center" vertical="center"/>
    </xf>
    <xf numFmtId="164" fontId="6" fillId="0" borderId="3" xfId="0" applyNumberFormat="1" applyFont="1" applyFill="1" applyBorder="1" applyAlignment="1">
      <alignment horizontal="right" vertical="center"/>
    </xf>
    <xf numFmtId="166" fontId="6" fillId="0" borderId="3" xfId="0" applyNumberFormat="1" applyFont="1" applyFill="1" applyBorder="1" applyAlignment="1">
      <alignment horizontal="right" vertical="center"/>
    </xf>
    <xf numFmtId="168" fontId="1" fillId="0" borderId="0" xfId="0" applyNumberFormat="1" applyFont="1" applyFill="1"/>
    <xf numFmtId="164" fontId="2" fillId="0" borderId="0" xfId="0" applyNumberFormat="1" applyFont="1" applyFill="1"/>
    <xf numFmtId="1" fontId="1" fillId="0" borderId="0" xfId="0" applyNumberFormat="1" applyFont="1" applyFill="1"/>
    <xf numFmtId="167" fontId="6" fillId="0" borderId="3" xfId="0" applyNumberFormat="1" applyFont="1" applyFill="1" applyBorder="1" applyAlignment="1">
      <alignment horizontal="right" vertical="center"/>
    </xf>
    <xf numFmtId="165" fontId="6" fillId="0" borderId="3" xfId="0" applyNumberFormat="1" applyFont="1" applyFill="1" applyBorder="1" applyAlignment="1">
      <alignment horizontal="right" vertical="center"/>
    </xf>
    <xf numFmtId="0" fontId="2" fillId="0" borderId="0" xfId="0" applyFont="1" applyFill="1"/>
    <xf numFmtId="0" fontId="4" fillId="0" borderId="0" xfId="0" applyFont="1" applyFill="1" applyAlignment="1">
      <alignment horizontal="left" vertical="center"/>
    </xf>
    <xf numFmtId="0" fontId="4" fillId="0" borderId="0" xfId="0" applyFont="1" applyFill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left" vertical="center"/>
    </xf>
    <xf numFmtId="0" fontId="1" fillId="3" borderId="0" xfId="0" applyFont="1" applyFill="1"/>
    <xf numFmtId="0" fontId="4" fillId="3" borderId="16" xfId="0" applyFont="1" applyFill="1" applyBorder="1" applyAlignment="1">
      <alignment horizontal="left" vertical="center"/>
    </xf>
    <xf numFmtId="164" fontId="6" fillId="0" borderId="17" xfId="0" applyNumberFormat="1" applyFont="1" applyFill="1" applyBorder="1" applyAlignment="1">
      <alignment horizontal="right" vertical="center"/>
    </xf>
    <xf numFmtId="164" fontId="6" fillId="0" borderId="16" xfId="0" applyNumberFormat="1" applyFont="1" applyFill="1" applyBorder="1" applyAlignment="1">
      <alignment horizontal="right" vertical="center"/>
    </xf>
    <xf numFmtId="0" fontId="4" fillId="5" borderId="4" xfId="0" applyFont="1" applyFill="1" applyBorder="1" applyAlignment="1">
      <alignment horizontal="left" vertical="center"/>
    </xf>
    <xf numFmtId="0" fontId="4" fillId="5" borderId="4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left" vertical="center"/>
    </xf>
    <xf numFmtId="0" fontId="6" fillId="3" borderId="18" xfId="0" applyFont="1" applyFill="1" applyBorder="1" applyAlignment="1">
      <alignment horizontal="left" vertical="center"/>
    </xf>
    <xf numFmtId="166" fontId="6" fillId="0" borderId="19" xfId="0" applyNumberFormat="1" applyFont="1" applyFill="1" applyBorder="1" applyAlignment="1">
      <alignment horizontal="right" vertical="center"/>
    </xf>
    <xf numFmtId="0" fontId="6" fillId="3" borderId="16" xfId="0" applyFont="1" applyFill="1" applyBorder="1" applyAlignment="1">
      <alignment horizontal="left" vertical="center"/>
    </xf>
    <xf numFmtId="166" fontId="6" fillId="0" borderId="17" xfId="0" applyNumberFormat="1" applyFont="1" applyFill="1" applyBorder="1" applyAlignment="1">
      <alignment horizontal="right" vertical="center"/>
    </xf>
    <xf numFmtId="0" fontId="3" fillId="5" borderId="4" xfId="0" applyFont="1" applyFill="1" applyBorder="1" applyAlignment="1">
      <alignment horizontal="center" vertical="center"/>
    </xf>
    <xf numFmtId="0" fontId="6" fillId="3" borderId="18" xfId="0" applyFont="1" applyFill="1" applyBorder="1" applyAlignment="1">
      <alignment vertical="center"/>
    </xf>
    <xf numFmtId="0" fontId="5" fillId="5" borderId="4" xfId="0" applyFont="1" applyFill="1" applyBorder="1" applyAlignment="1">
      <alignment horizontal="left" vertical="center"/>
    </xf>
    <xf numFmtId="0" fontId="1" fillId="3" borderId="18" xfId="0" applyFont="1" applyFill="1" applyBorder="1" applyAlignment="1">
      <alignment horizontal="left" vertical="center"/>
    </xf>
    <xf numFmtId="0" fontId="5" fillId="5" borderId="4" xfId="0" applyFont="1" applyFill="1" applyBorder="1" applyAlignment="1">
      <alignment horizontal="center" vertical="center"/>
    </xf>
    <xf numFmtId="9" fontId="6" fillId="0" borderId="18" xfId="0" applyNumberFormat="1" applyFont="1" applyFill="1" applyBorder="1" applyAlignment="1">
      <alignment vertical="center"/>
    </xf>
    <xf numFmtId="0" fontId="18" fillId="0" borderId="0" xfId="0" applyFont="1" applyFill="1" applyAlignment="1">
      <alignment horizontal="left" vertical="center"/>
    </xf>
    <xf numFmtId="2" fontId="6" fillId="0" borderId="3" xfId="0" applyNumberFormat="1" applyFont="1" applyFill="1" applyBorder="1" applyAlignment="1">
      <alignment horizontal="right" vertical="center"/>
    </xf>
    <xf numFmtId="0" fontId="3" fillId="5" borderId="4" xfId="0" applyFont="1" applyFill="1" applyBorder="1" applyAlignment="1">
      <alignment horizontal="left" vertical="center"/>
    </xf>
    <xf numFmtId="0" fontId="2" fillId="0" borderId="16" xfId="0" applyFont="1" applyFill="1" applyBorder="1"/>
    <xf numFmtId="0" fontId="4" fillId="3" borderId="18" xfId="0" applyFont="1" applyFill="1" applyBorder="1" applyAlignment="1">
      <alignment horizontal="left" vertical="center"/>
    </xf>
    <xf numFmtId="0" fontId="2" fillId="0" borderId="18" xfId="0" applyFont="1" applyFill="1" applyBorder="1"/>
    <xf numFmtId="166" fontId="6" fillId="0" borderId="18" xfId="0" applyNumberFormat="1" applyFont="1" applyFill="1" applyBorder="1" applyAlignment="1">
      <alignment horizontal="right" vertical="center"/>
    </xf>
    <xf numFmtId="166" fontId="4" fillId="0" borderId="16" xfId="0" applyNumberFormat="1" applyFont="1" applyFill="1" applyBorder="1" applyAlignment="1">
      <alignment horizontal="right" vertical="center"/>
    </xf>
    <xf numFmtId="164" fontId="6" fillId="0" borderId="18" xfId="0" applyNumberFormat="1" applyFont="1" applyFill="1" applyBorder="1" applyAlignment="1">
      <alignment horizontal="right" vertical="center"/>
    </xf>
    <xf numFmtId="164" fontId="4" fillId="5" borderId="4" xfId="0" applyNumberFormat="1" applyFont="1" applyFill="1" applyBorder="1" applyAlignment="1">
      <alignment horizontal="right" vertical="center"/>
    </xf>
    <xf numFmtId="0" fontId="2" fillId="5" borderId="22" xfId="0" applyFont="1" applyFill="1" applyBorder="1"/>
    <xf numFmtId="0" fontId="4" fillId="5" borderId="23" xfId="0" applyFont="1" applyFill="1" applyBorder="1" applyAlignment="1">
      <alignment horizontal="center" vertical="center"/>
    </xf>
    <xf numFmtId="0" fontId="2" fillId="0" borderId="24" xfId="0" applyFont="1" applyFill="1" applyBorder="1"/>
    <xf numFmtId="0" fontId="2" fillId="0" borderId="1" xfId="0" applyFont="1" applyFill="1" applyBorder="1"/>
    <xf numFmtId="166" fontId="4" fillId="0" borderId="25" xfId="0" applyNumberFormat="1" applyFont="1" applyFill="1" applyBorder="1" applyAlignment="1">
      <alignment horizontal="right" vertical="center"/>
    </xf>
    <xf numFmtId="164" fontId="6" fillId="0" borderId="24" xfId="0" applyNumberFormat="1" applyFont="1" applyFill="1" applyBorder="1" applyAlignment="1">
      <alignment horizontal="right" vertical="center"/>
    </xf>
    <xf numFmtId="164" fontId="6" fillId="0" borderId="25" xfId="0" applyNumberFormat="1" applyFont="1" applyFill="1" applyBorder="1" applyAlignment="1">
      <alignment horizontal="right" vertical="center"/>
    </xf>
    <xf numFmtId="164" fontId="4" fillId="5" borderId="26" xfId="0" applyNumberFormat="1" applyFont="1" applyFill="1" applyBorder="1" applyAlignment="1">
      <alignment horizontal="right" vertical="center"/>
    </xf>
    <xf numFmtId="166" fontId="6" fillId="0" borderId="24" xfId="0" applyNumberFormat="1" applyFont="1" applyFill="1" applyBorder="1" applyAlignment="1">
      <alignment horizontal="right" vertical="center"/>
    </xf>
    <xf numFmtId="166" fontId="6" fillId="0" borderId="25" xfId="0" applyNumberFormat="1" applyFont="1" applyFill="1" applyBorder="1" applyAlignment="1">
      <alignment horizontal="right" vertical="center"/>
    </xf>
    <xf numFmtId="0" fontId="5" fillId="0" borderId="0" xfId="0" applyFont="1" applyFill="1" applyBorder="1" applyAlignment="1">
      <alignment vertical="center"/>
    </xf>
    <xf numFmtId="0" fontId="18" fillId="0" borderId="0" xfId="0" applyFont="1" applyFill="1" applyBorder="1" applyAlignment="1">
      <alignment horizontal="left" vertical="center"/>
    </xf>
    <xf numFmtId="0" fontId="5" fillId="5" borderId="23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5" fillId="5" borderId="28" xfId="0" applyFont="1" applyFill="1" applyBorder="1" applyAlignment="1">
      <alignment horizontal="center" vertical="center"/>
    </xf>
    <xf numFmtId="0" fontId="4" fillId="0" borderId="20" xfId="0" applyFont="1" applyFill="1" applyBorder="1" applyAlignment="1">
      <alignment horizontal="center" vertical="center"/>
    </xf>
    <xf numFmtId="0" fontId="3" fillId="5" borderId="23" xfId="0" applyFont="1" applyFill="1" applyBorder="1" applyAlignment="1">
      <alignment horizontal="center" vertical="center"/>
    </xf>
    <xf numFmtId="0" fontId="3" fillId="5" borderId="27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vertical="center"/>
    </xf>
    <xf numFmtId="0" fontId="3" fillId="0" borderId="20" xfId="0" applyFont="1" applyFill="1" applyBorder="1" applyAlignment="1">
      <alignment vertical="center"/>
    </xf>
    <xf numFmtId="0" fontId="7" fillId="3" borderId="0" xfId="0" applyFont="1" applyFill="1"/>
    <xf numFmtId="0" fontId="1" fillId="3" borderId="1" xfId="0" applyFont="1" applyFill="1" applyBorder="1" applyAlignment="1">
      <alignment horizontal="left" vertical="center"/>
    </xf>
    <xf numFmtId="0" fontId="5" fillId="5" borderId="23" xfId="0" applyFont="1" applyFill="1" applyBorder="1" applyAlignment="1">
      <alignment horizontal="left" vertical="center"/>
    </xf>
    <xf numFmtId="0" fontId="3" fillId="5" borderId="29" xfId="0" applyFont="1" applyFill="1" applyBorder="1" applyAlignment="1">
      <alignment horizontal="center" vertical="center"/>
    </xf>
    <xf numFmtId="0" fontId="2" fillId="0" borderId="20" xfId="0" applyFont="1" applyFill="1" applyBorder="1"/>
    <xf numFmtId="0" fontId="4" fillId="3" borderId="30" xfId="0" applyFont="1" applyFill="1" applyBorder="1" applyAlignment="1">
      <alignment horizontal="left" vertical="center"/>
    </xf>
    <xf numFmtId="164" fontId="4" fillId="3" borderId="30" xfId="0" applyNumberFormat="1" applyFont="1" applyFill="1" applyBorder="1" applyAlignment="1">
      <alignment horizontal="right" vertical="center"/>
    </xf>
    <xf numFmtId="10" fontId="1" fillId="0" borderId="16" xfId="0" applyNumberFormat="1" applyFont="1" applyFill="1" applyBorder="1" applyAlignment="1">
      <alignment horizontal="right" vertical="center"/>
    </xf>
    <xf numFmtId="164" fontId="4" fillId="0" borderId="18" xfId="0" applyNumberFormat="1" applyFont="1" applyFill="1" applyBorder="1" applyAlignment="1">
      <alignment horizontal="right" vertical="center"/>
    </xf>
    <xf numFmtId="166" fontId="1" fillId="0" borderId="16" xfId="0" applyNumberFormat="1" applyFont="1" applyFill="1" applyBorder="1" applyAlignment="1">
      <alignment horizontal="right" vertical="center"/>
    </xf>
    <xf numFmtId="167" fontId="1" fillId="0" borderId="16" xfId="0" applyNumberFormat="1" applyFont="1" applyFill="1" applyBorder="1" applyAlignment="1">
      <alignment horizontal="right" vertical="center"/>
    </xf>
    <xf numFmtId="164" fontId="4" fillId="0" borderId="16" xfId="0" applyNumberFormat="1" applyFont="1" applyFill="1" applyBorder="1" applyAlignment="1">
      <alignment horizontal="right" vertical="center"/>
    </xf>
    <xf numFmtId="166" fontId="1" fillId="0" borderId="18" xfId="0" applyNumberFormat="1" applyFont="1" applyFill="1" applyBorder="1" applyAlignment="1">
      <alignment horizontal="right" vertical="center"/>
    </xf>
    <xf numFmtId="0" fontId="20" fillId="0" borderId="0" xfId="0" applyFont="1" applyFill="1" applyAlignment="1">
      <alignment horizontal="left" vertical="center"/>
    </xf>
    <xf numFmtId="0" fontId="6" fillId="0" borderId="0" xfId="0" applyFont="1" applyFill="1" applyAlignment="1">
      <alignment horizontal="left" vertical="center"/>
    </xf>
    <xf numFmtId="166" fontId="4" fillId="5" borderId="4" xfId="0" applyNumberFormat="1" applyFont="1" applyFill="1" applyBorder="1" applyAlignment="1">
      <alignment horizontal="center" vertical="center"/>
    </xf>
    <xf numFmtId="167" fontId="4" fillId="5" borderId="4" xfId="0" applyNumberFormat="1" applyFont="1" applyFill="1" applyBorder="1" applyAlignment="1">
      <alignment horizontal="center" vertical="center"/>
    </xf>
    <xf numFmtId="165" fontId="6" fillId="3" borderId="4" xfId="0" applyNumberFormat="1" applyFont="1" applyFill="1" applyBorder="1" applyAlignment="1">
      <alignment horizontal="right" vertical="center"/>
    </xf>
    <xf numFmtId="165" fontId="4" fillId="3" borderId="4" xfId="0" applyNumberFormat="1" applyFont="1" applyFill="1" applyBorder="1" applyAlignment="1">
      <alignment horizontal="right" vertical="center"/>
    </xf>
    <xf numFmtId="0" fontId="5" fillId="3" borderId="4" xfId="0" applyFont="1" applyFill="1" applyBorder="1" applyAlignment="1">
      <alignment horizontal="left" vertical="center"/>
    </xf>
    <xf numFmtId="0" fontId="5" fillId="3" borderId="23" xfId="0" applyFont="1" applyFill="1" applyBorder="1" applyAlignment="1">
      <alignment horizontal="center" vertical="center"/>
    </xf>
    <xf numFmtId="0" fontId="5" fillId="3" borderId="27" xfId="0" applyFont="1" applyFill="1" applyBorder="1" applyAlignment="1">
      <alignment horizontal="center" vertical="center"/>
    </xf>
    <xf numFmtId="0" fontId="5" fillId="3" borderId="28" xfId="0" applyFont="1" applyFill="1" applyBorder="1" applyAlignment="1">
      <alignment horizontal="center" vertical="center"/>
    </xf>
    <xf numFmtId="171" fontId="1" fillId="0" borderId="0" xfId="0" applyNumberFormat="1" applyFont="1" applyFill="1"/>
    <xf numFmtId="171" fontId="1" fillId="0" borderId="2" xfId="0" applyNumberFormat="1" applyFont="1" applyFill="1" applyBorder="1" applyAlignment="1">
      <alignment horizontal="right" vertical="center"/>
    </xf>
    <xf numFmtId="164" fontId="6" fillId="0" borderId="31" xfId="0" applyNumberFormat="1" applyFont="1" applyFill="1" applyBorder="1" applyAlignment="1">
      <alignment horizontal="right" vertical="center"/>
    </xf>
    <xf numFmtId="164" fontId="6" fillId="0" borderId="21" xfId="0" applyNumberFormat="1" applyFont="1" applyFill="1" applyBorder="1" applyAlignment="1">
      <alignment horizontal="right" vertical="center"/>
    </xf>
    <xf numFmtId="164" fontId="4" fillId="0" borderId="21" xfId="0" applyNumberFormat="1" applyFont="1" applyFill="1" applyBorder="1" applyAlignment="1">
      <alignment horizontal="right" vertical="center"/>
    </xf>
    <xf numFmtId="164" fontId="4" fillId="0" borderId="32" xfId="0" applyNumberFormat="1" applyFont="1" applyFill="1" applyBorder="1" applyAlignment="1">
      <alignment horizontal="right" vertical="center"/>
    </xf>
    <xf numFmtId="0" fontId="6" fillId="3" borderId="4" xfId="0" applyFont="1" applyFill="1" applyBorder="1" applyAlignment="1">
      <alignment horizontal="left" vertical="center"/>
    </xf>
    <xf numFmtId="0" fontId="4" fillId="3" borderId="4" xfId="0" applyFont="1" applyFill="1" applyBorder="1" applyAlignment="1">
      <alignment horizontal="left" vertical="center"/>
    </xf>
    <xf numFmtId="164" fontId="1" fillId="0" borderId="21" xfId="0" applyNumberFormat="1" applyFont="1" applyFill="1" applyBorder="1" applyAlignment="1">
      <alignment horizontal="right" vertical="center"/>
    </xf>
    <xf numFmtId="171" fontId="1" fillId="0" borderId="21" xfId="0" applyNumberFormat="1" applyFont="1" applyFill="1" applyBorder="1" applyAlignment="1">
      <alignment horizontal="right" vertical="center"/>
    </xf>
    <xf numFmtId="0" fontId="1" fillId="3" borderId="4" xfId="0" applyFont="1" applyFill="1" applyBorder="1"/>
    <xf numFmtId="0" fontId="1" fillId="3" borderId="4" xfId="0" applyFont="1" applyFill="1" applyBorder="1" applyAlignment="1">
      <alignment horizontal="left" vertical="center"/>
    </xf>
    <xf numFmtId="164" fontId="6" fillId="0" borderId="33" xfId="0" applyNumberFormat="1" applyFont="1" applyFill="1" applyBorder="1" applyAlignment="1">
      <alignment horizontal="right" vertical="center"/>
    </xf>
    <xf numFmtId="164" fontId="6" fillId="0" borderId="34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DC3C7"/>
      <rgbColor rgb="FF808080"/>
      <rgbColor rgb="FF9999FF"/>
      <rgbColor rgb="FF993366"/>
      <rgbColor rgb="FFFFF2CC"/>
      <rgbColor rgb="FFEBF5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0F4F8"/>
      <rgbColor rgb="FFCCFFCC"/>
      <rgbColor rgb="FFFFFF99"/>
      <rgbColor rgb="FF99CCFF"/>
      <rgbColor rgb="FFFF99CC"/>
      <rgbColor rgb="FFCC99FF"/>
      <rgbColor rgb="FFFFCC99"/>
      <rgbColor rgb="FF3366FF"/>
      <rgbColor rgb="FF5DADE2"/>
      <rgbColor rgb="FF99CC00"/>
      <rgbColor rgb="FFF0B429"/>
      <rgbColor rgb="FFFF9900"/>
      <rgbColor rgb="FFE74C3C"/>
      <rgbColor rgb="FF4A6274"/>
      <rgbColor rgb="FF969696"/>
      <rgbColor rgb="FF1A5276"/>
      <rgbColor rgb="FF1E8449"/>
      <rgbColor rgb="FF003300"/>
      <rgbColor rgb="FF1A1A1A"/>
      <rgbColor rgb="FF993300"/>
      <rgbColor rgb="FF993366"/>
      <rgbColor rgb="FF2E4057"/>
      <rgbColor rgb="FF1C28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E4057"/>
    <pageSetUpPr fitToPage="1"/>
  </sheetPr>
  <dimension ref="B1:E50"/>
  <sheetViews>
    <sheetView showGridLines="0" zoomScaleNormal="100" workbookViewId="0">
      <selection activeCell="C13" sqref="C13:E13"/>
    </sheetView>
  </sheetViews>
  <sheetFormatPr defaultColWidth="8.7109375" defaultRowHeight="15" x14ac:dyDescent="0.25"/>
  <cols>
    <col min="1" max="1" width="3" style="1" customWidth="1"/>
    <col min="2" max="2" width="30" style="1" customWidth="1"/>
    <col min="3" max="5" width="20" style="1" customWidth="1"/>
    <col min="6" max="16384" width="8.7109375" style="1"/>
  </cols>
  <sheetData>
    <row r="1" spans="2:5" ht="15" customHeight="1" x14ac:dyDescent="0.25"/>
    <row r="2" spans="2:5" ht="15" customHeight="1" x14ac:dyDescent="0.25"/>
    <row r="3" spans="2:5" ht="43.5" customHeight="1" x14ac:dyDescent="0.25">
      <c r="B3" s="34" t="s">
        <v>0</v>
      </c>
      <c r="C3" s="34"/>
      <c r="D3" s="34"/>
      <c r="E3" s="34"/>
    </row>
    <row r="4" spans="2:5" ht="24" customHeight="1" x14ac:dyDescent="0.25">
      <c r="B4" s="35" t="s">
        <v>1</v>
      </c>
      <c r="C4" s="35"/>
      <c r="D4" s="35"/>
      <c r="E4" s="35"/>
    </row>
    <row r="5" spans="2:5" ht="3.75" customHeight="1" x14ac:dyDescent="0.25"/>
    <row r="6" spans="2:5" ht="15" customHeight="1" x14ac:dyDescent="0.25"/>
    <row r="7" spans="2:5" ht="19.5" customHeight="1" x14ac:dyDescent="0.25">
      <c r="B7" s="32" t="s">
        <v>2</v>
      </c>
      <c r="C7" s="33"/>
      <c r="D7" s="33"/>
      <c r="E7" s="33"/>
    </row>
    <row r="8" spans="2:5" ht="15" customHeight="1" x14ac:dyDescent="0.25"/>
    <row r="9" spans="2:5" ht="19.5" customHeight="1" x14ac:dyDescent="0.25">
      <c r="B9" s="32" t="s">
        <v>3</v>
      </c>
      <c r="C9" s="33"/>
      <c r="D9" s="33"/>
      <c r="E9" s="33"/>
    </row>
    <row r="10" spans="2:5" ht="15" customHeight="1" x14ac:dyDescent="0.25"/>
    <row r="11" spans="2:5" ht="19.5" customHeight="1" x14ac:dyDescent="0.25">
      <c r="B11" s="32" t="s">
        <v>4</v>
      </c>
      <c r="C11" s="33"/>
      <c r="D11" s="33"/>
      <c r="E11" s="33"/>
    </row>
    <row r="12" spans="2:5" ht="15" customHeight="1" x14ac:dyDescent="0.25"/>
    <row r="13" spans="2:5" ht="19.5" customHeight="1" x14ac:dyDescent="0.25">
      <c r="B13" s="32" t="s">
        <v>5</v>
      </c>
      <c r="C13" s="33" t="s">
        <v>6</v>
      </c>
      <c r="D13" s="33"/>
      <c r="E13" s="33"/>
    </row>
    <row r="14" spans="2:5" ht="15" customHeight="1" x14ac:dyDescent="0.25"/>
    <row r="15" spans="2:5" ht="19.5" customHeight="1" x14ac:dyDescent="0.25">
      <c r="B15" s="32" t="s">
        <v>7</v>
      </c>
      <c r="C15" s="33" t="s">
        <v>8</v>
      </c>
      <c r="D15" s="33"/>
      <c r="E15" s="33"/>
    </row>
    <row r="16" spans="2:5" ht="15" customHeight="1" x14ac:dyDescent="0.25"/>
    <row r="17" spans="2:5" ht="15" customHeight="1" x14ac:dyDescent="0.25"/>
    <row r="18" spans="2:5" ht="15" customHeight="1" x14ac:dyDescent="0.25"/>
    <row r="19" spans="2:5" ht="15" customHeight="1" x14ac:dyDescent="0.25"/>
    <row r="20" spans="2:5" ht="19.5" customHeight="1" x14ac:dyDescent="0.25">
      <c r="B20" s="14" t="s">
        <v>9</v>
      </c>
      <c r="C20" s="14"/>
      <c r="D20" s="14"/>
      <c r="E20" s="14"/>
    </row>
    <row r="21" spans="2:5" ht="19.5" customHeight="1" x14ac:dyDescent="0.25">
      <c r="B21" s="15" t="s">
        <v>10</v>
      </c>
      <c r="C21" s="15"/>
      <c r="D21" s="16">
        <f>'DCF Valuation'!C39</f>
        <v>1130.0217268414226</v>
      </c>
      <c r="E21" s="16"/>
    </row>
    <row r="22" spans="2:5" ht="19.5" customHeight="1" x14ac:dyDescent="0.25">
      <c r="B22" s="15" t="s">
        <v>11</v>
      </c>
      <c r="C22" s="15"/>
      <c r="D22" s="16">
        <f>'DCF Valuation'!C43</f>
        <v>1000.0217268414226</v>
      </c>
      <c r="E22" s="16"/>
    </row>
    <row r="23" spans="2:5" ht="19.5" customHeight="1" x14ac:dyDescent="0.25">
      <c r="B23" s="15" t="s">
        <v>12</v>
      </c>
      <c r="C23" s="15"/>
      <c r="D23" s="17">
        <f>'DCF Valuation'!C54</f>
        <v>10.000217268414225</v>
      </c>
      <c r="E23" s="17"/>
    </row>
    <row r="24" spans="2:5" ht="19.5" customHeight="1" x14ac:dyDescent="0.25">
      <c r="B24" s="15" t="s">
        <v>13</v>
      </c>
      <c r="C24" s="15"/>
      <c r="D24" s="18">
        <f>'DCF Valuation'!C46</f>
        <v>42</v>
      </c>
      <c r="E24" s="18"/>
    </row>
    <row r="25" spans="2:5" ht="19.5" customHeight="1" x14ac:dyDescent="0.25">
      <c r="B25" s="15" t="s">
        <v>14</v>
      </c>
      <c r="C25" s="15"/>
      <c r="D25" s="19">
        <f>'DCF Valuation'!C47</f>
        <v>-0.76189958884728037</v>
      </c>
      <c r="E25" s="19"/>
    </row>
    <row r="26" spans="2:5" ht="19.5" customHeight="1" x14ac:dyDescent="0.25">
      <c r="B26" s="15" t="s">
        <v>15</v>
      </c>
      <c r="C26" s="15"/>
      <c r="D26" s="19">
        <f>WACC!D22</f>
        <v>0.10272191011235954</v>
      </c>
      <c r="E26" s="19"/>
    </row>
    <row r="27" spans="2:5" ht="19.5" customHeight="1" x14ac:dyDescent="0.25">
      <c r="B27" s="15" t="s">
        <v>16</v>
      </c>
      <c r="C27" s="15"/>
      <c r="D27" s="19">
        <f>'DCF Valuation'!C25</f>
        <v>0.02</v>
      </c>
      <c r="E27" s="19"/>
    </row>
    <row r="28" spans="2:5" ht="19.5" customHeight="1" x14ac:dyDescent="0.25">
      <c r="B28" s="15" t="s">
        <v>17</v>
      </c>
      <c r="C28" s="15"/>
      <c r="D28" s="20">
        <f>'DCF Valuation'!C30</f>
        <v>8</v>
      </c>
      <c r="E28" s="20"/>
    </row>
    <row r="29" spans="2:5" ht="19.5" customHeight="1" x14ac:dyDescent="0.25">
      <c r="B29" s="15" t="s">
        <v>18</v>
      </c>
      <c r="C29" s="15"/>
      <c r="D29" s="19">
        <f>'DCF Valuation'!C37</f>
        <v>0.72187537290799686</v>
      </c>
      <c r="E29" s="19"/>
    </row>
    <row r="30" spans="2:5" ht="15" customHeight="1" x14ac:dyDescent="0.25"/>
    <row r="31" spans="2:5" ht="15" customHeight="1" x14ac:dyDescent="0.25"/>
    <row r="32" spans="2:5" ht="19.5" customHeight="1" x14ac:dyDescent="0.25">
      <c r="B32" s="21" t="s">
        <v>19</v>
      </c>
      <c r="C32" s="22"/>
      <c r="D32" s="22"/>
      <c r="E32" s="23"/>
    </row>
    <row r="33" spans="2:5" ht="18" customHeight="1" x14ac:dyDescent="0.25">
      <c r="B33" s="24" t="s">
        <v>20</v>
      </c>
      <c r="C33" s="25" t="s">
        <v>21</v>
      </c>
      <c r="D33" s="26"/>
      <c r="E33" s="27"/>
    </row>
    <row r="34" spans="2:5" ht="18" customHeight="1" x14ac:dyDescent="0.25">
      <c r="B34" s="28" t="s">
        <v>15</v>
      </c>
      <c r="C34" s="25" t="s">
        <v>22</v>
      </c>
      <c r="D34" s="26"/>
      <c r="E34" s="27"/>
    </row>
    <row r="35" spans="2:5" ht="18" customHeight="1" x14ac:dyDescent="0.25">
      <c r="B35" s="28" t="s">
        <v>23</v>
      </c>
      <c r="C35" s="25" t="s">
        <v>24</v>
      </c>
      <c r="D35" s="26"/>
      <c r="E35" s="27"/>
    </row>
    <row r="36" spans="2:5" ht="18" customHeight="1" x14ac:dyDescent="0.25">
      <c r="B36" s="29" t="s">
        <v>25</v>
      </c>
      <c r="C36" s="25" t="s">
        <v>26</v>
      </c>
      <c r="D36" s="26"/>
      <c r="E36" s="27"/>
    </row>
    <row r="37" spans="2:5" ht="18" customHeight="1" x14ac:dyDescent="0.25">
      <c r="B37" s="30" t="s">
        <v>27</v>
      </c>
      <c r="C37" s="31" t="s">
        <v>28</v>
      </c>
      <c r="D37" s="26"/>
      <c r="E37" s="27"/>
    </row>
    <row r="38" spans="2:5" ht="15" customHeight="1" x14ac:dyDescent="0.25"/>
    <row r="39" spans="2:5" ht="15" customHeight="1" x14ac:dyDescent="0.25"/>
    <row r="40" spans="2:5" ht="15" customHeight="1" x14ac:dyDescent="0.25"/>
    <row r="41" spans="2:5" ht="15" customHeight="1" x14ac:dyDescent="0.25"/>
    <row r="42" spans="2:5" ht="15" customHeight="1" x14ac:dyDescent="0.25"/>
    <row r="43" spans="2:5" ht="15" customHeight="1" x14ac:dyDescent="0.25"/>
    <row r="44" spans="2:5" ht="15" customHeight="1" x14ac:dyDescent="0.25"/>
    <row r="45" spans="2:5" ht="15" customHeight="1" x14ac:dyDescent="0.25"/>
    <row r="46" spans="2:5" ht="15" customHeight="1" x14ac:dyDescent="0.25"/>
    <row r="47" spans="2:5" ht="15" customHeight="1" x14ac:dyDescent="0.25"/>
    <row r="48" spans="2:5" ht="15" customHeight="1" x14ac:dyDescent="0.25"/>
    <row r="49" ht="15" customHeight="1" x14ac:dyDescent="0.25"/>
    <row r="50" ht="15" customHeight="1" x14ac:dyDescent="0.25"/>
  </sheetData>
  <mergeCells count="32">
    <mergeCell ref="C33:E33"/>
    <mergeCell ref="C34:E34"/>
    <mergeCell ref="C35:E35"/>
    <mergeCell ref="C36:E36"/>
    <mergeCell ref="C37:E37"/>
    <mergeCell ref="B28:C28"/>
    <mergeCell ref="D28:E28"/>
    <mergeCell ref="B29:C29"/>
    <mergeCell ref="D29:E29"/>
    <mergeCell ref="B32:E32"/>
    <mergeCell ref="B25:C25"/>
    <mergeCell ref="D25:E25"/>
    <mergeCell ref="B26:C26"/>
    <mergeCell ref="D26:E26"/>
    <mergeCell ref="B27:C27"/>
    <mergeCell ref="D27:E27"/>
    <mergeCell ref="B22:C22"/>
    <mergeCell ref="D22:E22"/>
    <mergeCell ref="B23:C23"/>
    <mergeCell ref="D23:E23"/>
    <mergeCell ref="B24:C24"/>
    <mergeCell ref="D24:E24"/>
    <mergeCell ref="C13:E13"/>
    <mergeCell ref="C15:E15"/>
    <mergeCell ref="B20:E20"/>
    <mergeCell ref="B21:C21"/>
    <mergeCell ref="D21:E21"/>
    <mergeCell ref="B3:E3"/>
    <mergeCell ref="B4:E4"/>
    <mergeCell ref="C7:E7"/>
    <mergeCell ref="C9:E9"/>
    <mergeCell ref="C11:E11"/>
  </mergeCells>
  <pageMargins left="0.75" right="0.75" top="1" bottom="1" header="0.511811023622047" footer="0.511811023622047"/>
  <pageSetup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A6274"/>
    <pageSetUpPr fitToPage="1"/>
  </sheetPr>
  <dimension ref="B2:J32"/>
  <sheetViews>
    <sheetView showGridLines="0" zoomScaleNormal="100" workbookViewId="0">
      <selection activeCell="N16" sqref="N16"/>
    </sheetView>
  </sheetViews>
  <sheetFormatPr defaultColWidth="8.7109375" defaultRowHeight="18" customHeight="1" x14ac:dyDescent="0.25"/>
  <cols>
    <col min="1" max="1" width="3" style="1" customWidth="1"/>
    <col min="2" max="2" width="38" style="1" customWidth="1"/>
    <col min="3" max="7" width="14" style="1" customWidth="1"/>
    <col min="8" max="8" width="10" style="1" customWidth="1"/>
    <col min="9" max="16384" width="8.7109375" style="1"/>
  </cols>
  <sheetData>
    <row r="2" spans="2:10" ht="25.5" customHeight="1" x14ac:dyDescent="0.25">
      <c r="B2" s="59" t="s">
        <v>147</v>
      </c>
      <c r="C2" s="59"/>
      <c r="D2" s="59"/>
      <c r="E2" s="59"/>
      <c r="F2" s="59"/>
      <c r="G2" s="59"/>
      <c r="H2" s="59"/>
    </row>
    <row r="4" spans="2:10" ht="18" customHeight="1" x14ac:dyDescent="0.25">
      <c r="B4" s="52" t="s">
        <v>29</v>
      </c>
      <c r="C4" s="53" t="s">
        <v>30</v>
      </c>
      <c r="D4" s="53" t="s">
        <v>31</v>
      </c>
      <c r="E4" s="53" t="s">
        <v>32</v>
      </c>
      <c r="F4" s="53" t="s">
        <v>33</v>
      </c>
      <c r="G4" s="53" t="s">
        <v>34</v>
      </c>
    </row>
    <row r="5" spans="2:10" ht="18" customHeight="1" x14ac:dyDescent="0.25">
      <c r="B5" s="54" t="s">
        <v>35</v>
      </c>
      <c r="C5" s="54"/>
      <c r="D5" s="54"/>
      <c r="E5" s="54"/>
      <c r="F5" s="54"/>
      <c r="G5" s="54"/>
    </row>
    <row r="6" spans="2:10" ht="18" customHeight="1" thickBot="1" x14ac:dyDescent="0.3">
      <c r="B6" s="49" t="s">
        <v>36</v>
      </c>
      <c r="C6" s="50">
        <v>500</v>
      </c>
      <c r="D6" s="51">
        <f>C6*(1+D7)</f>
        <v>540</v>
      </c>
      <c r="E6" s="51">
        <f>D6*(1+E7)</f>
        <v>577.80000000000007</v>
      </c>
      <c r="F6" s="51">
        <f>E6*(1+F7)</f>
        <v>612.46800000000007</v>
      </c>
      <c r="G6" s="51">
        <f>F6*(1+G7)</f>
        <v>643.09140000000014</v>
      </c>
    </row>
    <row r="7" spans="2:10" ht="18" customHeight="1" x14ac:dyDescent="0.25">
      <c r="B7" s="55" t="s">
        <v>37</v>
      </c>
      <c r="C7" s="56">
        <v>0.1</v>
      </c>
      <c r="D7" s="56">
        <v>0.08</v>
      </c>
      <c r="E7" s="56">
        <v>7.0000000000000007E-2</v>
      </c>
      <c r="F7" s="56">
        <v>0.06</v>
      </c>
      <c r="G7" s="56">
        <v>0.05</v>
      </c>
    </row>
    <row r="8" spans="2:10" ht="18" customHeight="1" x14ac:dyDescent="0.25">
      <c r="B8" s="54" t="s">
        <v>38</v>
      </c>
      <c r="C8" s="54"/>
      <c r="D8" s="54"/>
      <c r="E8" s="54"/>
      <c r="F8" s="54"/>
      <c r="G8" s="54"/>
    </row>
    <row r="9" spans="2:10" ht="18" customHeight="1" thickBot="1" x14ac:dyDescent="0.3">
      <c r="B9" s="57" t="s">
        <v>39</v>
      </c>
      <c r="C9" s="58">
        <v>0.22</v>
      </c>
      <c r="D9" s="58">
        <v>0.23</v>
      </c>
      <c r="E9" s="58">
        <v>0.24</v>
      </c>
      <c r="F9" s="58">
        <v>0.25</v>
      </c>
      <c r="G9" s="58">
        <v>0.26</v>
      </c>
    </row>
    <row r="10" spans="2:10" ht="18" customHeight="1" thickBot="1" x14ac:dyDescent="0.3">
      <c r="B10" s="48" t="s">
        <v>40</v>
      </c>
      <c r="C10" s="38">
        <v>0.65</v>
      </c>
      <c r="D10" s="38">
        <v>0.65</v>
      </c>
      <c r="E10" s="38">
        <v>0.64</v>
      </c>
      <c r="F10" s="38">
        <v>0.63</v>
      </c>
      <c r="G10" s="38">
        <v>0.62</v>
      </c>
    </row>
    <row r="11" spans="2:10" ht="18" customHeight="1" x14ac:dyDescent="0.25">
      <c r="B11" s="47" t="s">
        <v>41</v>
      </c>
      <c r="C11" s="37">
        <v>0.04</v>
      </c>
      <c r="D11" s="37">
        <v>0.04</v>
      </c>
      <c r="E11" s="37">
        <v>0.04</v>
      </c>
      <c r="F11" s="37">
        <v>0.04</v>
      </c>
      <c r="G11" s="37">
        <v>0.04</v>
      </c>
      <c r="J11" s="39"/>
    </row>
    <row r="12" spans="2:10" ht="18" customHeight="1" x14ac:dyDescent="0.25">
      <c r="B12" s="47" t="s">
        <v>42</v>
      </c>
      <c r="C12" s="37">
        <v>0.06</v>
      </c>
      <c r="D12" s="37">
        <v>0.06</v>
      </c>
      <c r="E12" s="37">
        <v>0.05</v>
      </c>
      <c r="F12" s="37">
        <v>0.05</v>
      </c>
      <c r="G12" s="37">
        <v>0.05</v>
      </c>
    </row>
    <row r="13" spans="2:10" ht="18" customHeight="1" x14ac:dyDescent="0.25">
      <c r="B13" s="60" t="s">
        <v>43</v>
      </c>
      <c r="C13" s="64">
        <v>0.21</v>
      </c>
      <c r="D13" s="64">
        <v>0.21</v>
      </c>
      <c r="E13" s="64">
        <v>0.21</v>
      </c>
      <c r="F13" s="64">
        <v>0.21</v>
      </c>
      <c r="G13" s="64">
        <v>0.21</v>
      </c>
    </row>
    <row r="14" spans="2:10" ht="18" customHeight="1" x14ac:dyDescent="0.25">
      <c r="B14" s="54" t="s">
        <v>44</v>
      </c>
      <c r="C14" s="54"/>
      <c r="D14" s="54"/>
      <c r="E14" s="54"/>
      <c r="F14" s="54"/>
      <c r="G14" s="54"/>
    </row>
    <row r="15" spans="2:10" ht="18" customHeight="1" thickBot="1" x14ac:dyDescent="0.3">
      <c r="B15" s="57" t="s">
        <v>45</v>
      </c>
      <c r="C15" s="50">
        <v>45</v>
      </c>
      <c r="D15" s="50">
        <v>45</v>
      </c>
      <c r="E15" s="50">
        <v>44</v>
      </c>
      <c r="F15" s="50">
        <v>44</v>
      </c>
      <c r="G15" s="50">
        <v>43</v>
      </c>
    </row>
    <row r="16" spans="2:10" ht="18" customHeight="1" thickBot="1" x14ac:dyDescent="0.3">
      <c r="B16" s="47" t="s">
        <v>46</v>
      </c>
      <c r="C16" s="36">
        <v>30</v>
      </c>
      <c r="D16" s="36">
        <v>30</v>
      </c>
      <c r="E16" s="36">
        <v>29</v>
      </c>
      <c r="F16" s="36">
        <v>29</v>
      </c>
      <c r="G16" s="36">
        <v>28</v>
      </c>
    </row>
    <row r="17" spans="2:7" ht="18" customHeight="1" x14ac:dyDescent="0.25">
      <c r="B17" s="62" t="s">
        <v>47</v>
      </c>
      <c r="C17" s="40">
        <v>35</v>
      </c>
      <c r="D17" s="40">
        <v>35</v>
      </c>
      <c r="E17" s="40">
        <v>36</v>
      </c>
      <c r="F17" s="40">
        <v>36</v>
      </c>
      <c r="G17" s="40">
        <v>37</v>
      </c>
    </row>
    <row r="18" spans="2:7" ht="18" customHeight="1" x14ac:dyDescent="0.25">
      <c r="B18" s="61" t="s">
        <v>48</v>
      </c>
    </row>
    <row r="19" spans="2:7" ht="18" customHeight="1" x14ac:dyDescent="0.25">
      <c r="B19" s="57" t="s">
        <v>49</v>
      </c>
      <c r="C19" s="37">
        <v>0.02</v>
      </c>
    </row>
    <row r="20" spans="2:7" ht="18" customHeight="1" x14ac:dyDescent="0.25">
      <c r="B20" s="47" t="s">
        <v>50</v>
      </c>
      <c r="C20" s="41">
        <v>8</v>
      </c>
    </row>
    <row r="21" spans="2:7" ht="18" customHeight="1" x14ac:dyDescent="0.25">
      <c r="B21" s="62" t="s">
        <v>51</v>
      </c>
      <c r="C21" s="38">
        <f>WACC!D22</f>
        <v>0.10272191011235954</v>
      </c>
    </row>
    <row r="22" spans="2:7" ht="18" customHeight="1" x14ac:dyDescent="0.25">
      <c r="B22" s="61" t="s">
        <v>52</v>
      </c>
    </row>
    <row r="23" spans="2:7" ht="18" customHeight="1" x14ac:dyDescent="0.25">
      <c r="B23" s="57" t="s">
        <v>53</v>
      </c>
      <c r="C23" s="36">
        <v>120</v>
      </c>
    </row>
    <row r="24" spans="2:7" ht="18" customHeight="1" x14ac:dyDescent="0.25">
      <c r="B24" s="47" t="s">
        <v>54</v>
      </c>
      <c r="C24" s="36">
        <v>250</v>
      </c>
    </row>
    <row r="25" spans="2:7" ht="18" customHeight="1" x14ac:dyDescent="0.25">
      <c r="B25" s="47" t="s">
        <v>55</v>
      </c>
      <c r="C25" s="36">
        <v>0</v>
      </c>
    </row>
    <row r="26" spans="2:7" ht="18" customHeight="1" x14ac:dyDescent="0.25">
      <c r="B26" s="47" t="s">
        <v>56</v>
      </c>
      <c r="C26" s="36">
        <v>100</v>
      </c>
    </row>
    <row r="27" spans="2:7" ht="18" customHeight="1" x14ac:dyDescent="0.25">
      <c r="B27" s="47" t="s">
        <v>57</v>
      </c>
      <c r="C27" s="42">
        <v>42</v>
      </c>
    </row>
    <row r="28" spans="2:7" ht="18" customHeight="1" x14ac:dyDescent="0.25">
      <c r="B28" s="43"/>
      <c r="C28" s="43"/>
      <c r="D28" s="43"/>
      <c r="E28" s="43"/>
      <c r="F28" s="43"/>
      <c r="G28" s="43"/>
    </row>
    <row r="29" spans="2:7" ht="18" customHeight="1" x14ac:dyDescent="0.25">
      <c r="B29" s="2"/>
      <c r="C29" s="2"/>
      <c r="D29" s="2"/>
      <c r="E29" s="2"/>
      <c r="F29" s="2"/>
      <c r="G29" s="2"/>
    </row>
    <row r="30" spans="2:7" ht="18" customHeight="1" x14ac:dyDescent="0.25">
      <c r="B30" s="44"/>
      <c r="C30" s="44"/>
      <c r="D30" s="44"/>
      <c r="E30" s="44"/>
      <c r="F30" s="44"/>
      <c r="G30" s="44"/>
    </row>
    <row r="31" spans="2:7" ht="18" customHeight="1" x14ac:dyDescent="0.25">
      <c r="B31" s="44"/>
      <c r="C31" s="44"/>
      <c r="D31" s="44"/>
      <c r="E31" s="44"/>
      <c r="F31" s="44"/>
      <c r="G31" s="44"/>
    </row>
    <row r="32" spans="2:7" ht="18" customHeight="1" x14ac:dyDescent="0.25">
      <c r="B32" s="45"/>
    </row>
  </sheetData>
  <mergeCells count="8">
    <mergeCell ref="B29:G29"/>
    <mergeCell ref="B30:G30"/>
    <mergeCell ref="B31:G31"/>
    <mergeCell ref="B2:H2"/>
    <mergeCell ref="B5:G5"/>
    <mergeCell ref="B8:G8"/>
    <mergeCell ref="B28:G28"/>
    <mergeCell ref="B14:G14"/>
  </mergeCells>
  <pageMargins left="0.75" right="0.75" top="1" bottom="1" header="0.511811023622047" footer="0.511811023622047"/>
  <pageSetup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5DADE2"/>
    <pageSetUpPr fitToPage="1"/>
  </sheetPr>
  <dimension ref="B2:H41"/>
  <sheetViews>
    <sheetView showGridLines="0" zoomScaleNormal="100" workbookViewId="0">
      <pane xSplit="2" ySplit="4" topLeftCell="C5" activePane="bottomRight" state="frozen"/>
      <selection pane="topRight" activeCell="C1" sqref="C1"/>
      <selection pane="bottomLeft" activeCell="A4" sqref="A4"/>
      <selection pane="bottomRight" activeCell="F12" sqref="F12"/>
    </sheetView>
  </sheetViews>
  <sheetFormatPr defaultColWidth="8.7109375" defaultRowHeight="15" x14ac:dyDescent="0.25"/>
  <cols>
    <col min="1" max="1" width="3" style="1" customWidth="1"/>
    <col min="2" max="2" width="44" style="1" customWidth="1"/>
    <col min="3" max="4" width="18" style="1" customWidth="1"/>
    <col min="5" max="5" width="28" style="1" customWidth="1"/>
    <col min="6" max="16384" width="8.7109375" style="1"/>
  </cols>
  <sheetData>
    <row r="2" spans="2:8" ht="31.5" customHeight="1" x14ac:dyDescent="0.25">
      <c r="B2" s="91" t="s">
        <v>148</v>
      </c>
      <c r="C2" s="92"/>
      <c r="D2" s="92"/>
      <c r="E2" s="94"/>
      <c r="F2" s="93"/>
      <c r="G2" s="93"/>
      <c r="H2" s="93"/>
    </row>
    <row r="3" spans="2:8" ht="3.75" customHeight="1" x14ac:dyDescent="0.25"/>
    <row r="4" spans="2:8" ht="19.5" customHeight="1" x14ac:dyDescent="0.25">
      <c r="B4" s="52" t="s">
        <v>58</v>
      </c>
      <c r="C4" s="53" t="s">
        <v>59</v>
      </c>
      <c r="D4" s="76" t="s">
        <v>60</v>
      </c>
      <c r="E4" s="90"/>
    </row>
    <row r="5" spans="2:8" ht="18" customHeight="1" x14ac:dyDescent="0.25">
      <c r="B5" s="87" t="s">
        <v>61</v>
      </c>
      <c r="C5" s="88"/>
      <c r="D5" s="89"/>
      <c r="E5" s="85"/>
    </row>
    <row r="6" spans="2:8" ht="18" customHeight="1" thickBot="1" x14ac:dyDescent="0.3">
      <c r="B6" s="57" t="s">
        <v>62</v>
      </c>
      <c r="C6" s="58">
        <v>4.2999999999999997E-2</v>
      </c>
      <c r="D6" s="77"/>
      <c r="E6" s="86"/>
    </row>
    <row r="7" spans="2:8" ht="18" customHeight="1" thickBot="1" x14ac:dyDescent="0.3">
      <c r="B7" s="47" t="s">
        <v>63</v>
      </c>
      <c r="C7" s="37">
        <v>5.5E-2</v>
      </c>
      <c r="D7" s="78"/>
      <c r="E7" s="86"/>
    </row>
    <row r="8" spans="2:8" ht="18" customHeight="1" x14ac:dyDescent="0.25">
      <c r="B8" s="47" t="s">
        <v>64</v>
      </c>
      <c r="C8" s="66">
        <v>1.1499999999999999</v>
      </c>
      <c r="D8" s="78"/>
      <c r="E8" s="86"/>
    </row>
    <row r="9" spans="2:8" ht="18" customHeight="1" x14ac:dyDescent="0.25">
      <c r="B9" s="47" t="s">
        <v>65</v>
      </c>
      <c r="C9" s="37">
        <v>0</v>
      </c>
      <c r="D9" s="78"/>
      <c r="E9" s="86"/>
    </row>
    <row r="10" spans="2:8" ht="18" customHeight="1" x14ac:dyDescent="0.25">
      <c r="B10" s="69" t="s">
        <v>66</v>
      </c>
      <c r="C10" s="70"/>
      <c r="D10" s="79">
        <f>C6+C8*C7+C9</f>
        <v>0.10625</v>
      </c>
      <c r="E10" s="86"/>
    </row>
    <row r="11" spans="2:8" ht="18" customHeight="1" x14ac:dyDescent="0.25">
      <c r="B11" s="87" t="s">
        <v>67</v>
      </c>
      <c r="C11" s="88"/>
      <c r="D11" s="89"/>
      <c r="E11" s="85"/>
    </row>
    <row r="12" spans="2:8" ht="18" customHeight="1" thickBot="1" x14ac:dyDescent="0.3">
      <c r="B12" s="57" t="s">
        <v>68</v>
      </c>
      <c r="C12" s="58">
        <v>5.5E-2</v>
      </c>
      <c r="D12" s="77"/>
      <c r="E12" s="86"/>
    </row>
    <row r="13" spans="2:8" ht="18" customHeight="1" thickBot="1" x14ac:dyDescent="0.3">
      <c r="B13" s="47" t="s">
        <v>69</v>
      </c>
      <c r="C13" s="37">
        <v>0.21</v>
      </c>
      <c r="D13" s="78"/>
      <c r="E13" s="86"/>
    </row>
    <row r="14" spans="2:8" ht="18" customHeight="1" x14ac:dyDescent="0.25">
      <c r="B14" s="69" t="s">
        <v>70</v>
      </c>
      <c r="C14" s="70"/>
      <c r="D14" s="79">
        <f>C12*(1-C13)</f>
        <v>4.3450000000000003E-2</v>
      </c>
      <c r="E14" s="86"/>
    </row>
    <row r="15" spans="2:8" ht="18" customHeight="1" x14ac:dyDescent="0.25">
      <c r="B15" s="87" t="s">
        <v>71</v>
      </c>
      <c r="C15" s="88"/>
      <c r="D15" s="89"/>
      <c r="E15" s="85"/>
    </row>
    <row r="16" spans="2:8" ht="18" customHeight="1" x14ac:dyDescent="0.25">
      <c r="B16" s="57" t="s">
        <v>72</v>
      </c>
      <c r="C16" s="68"/>
      <c r="D16" s="80">
        <f>Assumptions!C26*Assumptions!C27</f>
        <v>4200</v>
      </c>
      <c r="E16" s="86"/>
    </row>
    <row r="17" spans="2:5" ht="18" customHeight="1" x14ac:dyDescent="0.25">
      <c r="B17" s="55" t="s">
        <v>73</v>
      </c>
      <c r="C17" s="70"/>
      <c r="D17" s="81">
        <f>Assumptions!C24</f>
        <v>250</v>
      </c>
      <c r="E17" s="86"/>
    </row>
    <row r="18" spans="2:5" ht="18" customHeight="1" x14ac:dyDescent="0.25">
      <c r="B18" s="52" t="s">
        <v>74</v>
      </c>
      <c r="C18" s="75"/>
      <c r="D18" s="82">
        <f>D16+D17</f>
        <v>4450</v>
      </c>
      <c r="E18" s="86"/>
    </row>
    <row r="19" spans="2:5" ht="18" customHeight="1" x14ac:dyDescent="0.25">
      <c r="B19" s="57" t="s">
        <v>75</v>
      </c>
      <c r="C19" s="68"/>
      <c r="D19" s="83">
        <f>D16/D18</f>
        <v>0.9438202247191011</v>
      </c>
      <c r="E19" s="86"/>
    </row>
    <row r="20" spans="2:5" ht="18" customHeight="1" x14ac:dyDescent="0.25">
      <c r="B20" s="55" t="s">
        <v>76</v>
      </c>
      <c r="C20" s="70"/>
      <c r="D20" s="84">
        <f>D17/D18</f>
        <v>5.6179775280898875E-2</v>
      </c>
      <c r="E20" s="86"/>
    </row>
    <row r="21" spans="2:5" ht="18" customHeight="1" x14ac:dyDescent="0.25">
      <c r="B21" s="87" t="s">
        <v>77</v>
      </c>
      <c r="C21" s="88"/>
      <c r="D21" s="89"/>
      <c r="E21" s="85"/>
    </row>
    <row r="22" spans="2:5" ht="18" customHeight="1" x14ac:dyDescent="0.25">
      <c r="B22" s="49" t="s">
        <v>78</v>
      </c>
      <c r="C22" s="68"/>
      <c r="D22" s="72">
        <f>D10*D19+D14*D20</f>
        <v>0.10272191011235954</v>
      </c>
      <c r="E22" s="65"/>
    </row>
    <row r="23" spans="2:5" ht="15" customHeight="1" x14ac:dyDescent="0.25"/>
    <row r="24" spans="2:5" ht="15" customHeight="1" x14ac:dyDescent="0.25"/>
    <row r="25" spans="2:5" ht="15" customHeight="1" x14ac:dyDescent="0.25"/>
    <row r="26" spans="2:5" ht="15" customHeight="1" x14ac:dyDescent="0.25"/>
    <row r="27" spans="2:5" ht="15" customHeight="1" x14ac:dyDescent="0.25"/>
    <row r="28" spans="2:5" ht="15" customHeight="1" x14ac:dyDescent="0.25"/>
    <row r="29" spans="2:5" ht="15" customHeight="1" x14ac:dyDescent="0.25"/>
    <row r="30" spans="2:5" ht="15" customHeight="1" x14ac:dyDescent="0.25"/>
    <row r="31" spans="2:5" ht="15" customHeight="1" x14ac:dyDescent="0.25"/>
    <row r="32" spans="2:5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  <row r="38" ht="15" customHeight="1" x14ac:dyDescent="0.25"/>
    <row r="39" ht="15" customHeight="1" x14ac:dyDescent="0.25"/>
    <row r="40" ht="15" customHeight="1" x14ac:dyDescent="0.25"/>
    <row r="41" ht="15" customHeight="1" x14ac:dyDescent="0.25"/>
  </sheetData>
  <mergeCells count="5">
    <mergeCell ref="B5:D5"/>
    <mergeCell ref="B11:D11"/>
    <mergeCell ref="B15:D15"/>
    <mergeCell ref="B21:D21"/>
    <mergeCell ref="B2:D2"/>
  </mergeCells>
  <pageMargins left="0.75" right="0.75" top="1" bottom="1" header="0.511811023622047" footer="0.511811023622047"/>
  <pageSetup orientation="landscape" horizontalDpi="300" verticalDpi="30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0B429"/>
    <pageSetUpPr fitToPage="1"/>
  </sheetPr>
  <dimension ref="B1:H54"/>
  <sheetViews>
    <sheetView showGridLines="0" topLeftCell="B32" zoomScaleNormal="100" workbookViewId="0">
      <selection activeCell="B19" sqref="B19"/>
    </sheetView>
  </sheetViews>
  <sheetFormatPr defaultColWidth="8.7109375" defaultRowHeight="18" customHeight="1" x14ac:dyDescent="0.25"/>
  <cols>
    <col min="1" max="1" width="3" style="1" customWidth="1"/>
    <col min="2" max="2" width="55" style="1" bestFit="1" customWidth="1"/>
    <col min="3" max="3" width="15.28515625" style="1" customWidth="1"/>
    <col min="4" max="7" width="14" style="1" customWidth="1"/>
    <col min="8" max="8" width="10" style="1" customWidth="1"/>
    <col min="9" max="16384" width="8.7109375" style="1"/>
  </cols>
  <sheetData>
    <row r="1" spans="2:8" ht="18" customHeight="1" x14ac:dyDescent="0.25">
      <c r="B1" s="59" t="s">
        <v>79</v>
      </c>
      <c r="C1" s="59"/>
      <c r="D1" s="59"/>
      <c r="E1" s="59"/>
      <c r="F1" s="59"/>
      <c r="G1" s="59"/>
      <c r="H1" s="59"/>
    </row>
    <row r="2" spans="2:8" ht="18" customHeight="1" x14ac:dyDescent="0.25">
      <c r="B2" s="59"/>
      <c r="C2" s="59"/>
      <c r="D2" s="59"/>
      <c r="E2" s="59"/>
      <c r="F2" s="59"/>
      <c r="G2" s="59"/>
      <c r="H2" s="98"/>
    </row>
    <row r="3" spans="2:8" ht="18" customHeight="1" x14ac:dyDescent="0.25">
      <c r="B3" s="52" t="s">
        <v>80</v>
      </c>
      <c r="C3" s="53" t="s">
        <v>30</v>
      </c>
      <c r="D3" s="53" t="s">
        <v>31</v>
      </c>
      <c r="E3" s="53" t="s">
        <v>32</v>
      </c>
      <c r="F3" s="53" t="s">
        <v>33</v>
      </c>
      <c r="G3" s="76" t="s">
        <v>34</v>
      </c>
      <c r="H3" s="99"/>
    </row>
    <row r="4" spans="2:8" ht="18" customHeight="1" x14ac:dyDescent="0.25">
      <c r="B4" s="54" t="s">
        <v>81</v>
      </c>
      <c r="C4" s="54"/>
      <c r="D4" s="54"/>
      <c r="E4" s="54"/>
      <c r="F4" s="54"/>
      <c r="G4" s="97"/>
      <c r="H4" s="99"/>
    </row>
    <row r="5" spans="2:8" ht="18" customHeight="1" x14ac:dyDescent="0.25">
      <c r="B5" s="57" t="s">
        <v>82</v>
      </c>
      <c r="C5" s="51">
        <f>Assumptions!C6</f>
        <v>500</v>
      </c>
      <c r="D5" s="51">
        <f>Assumptions!D6</f>
        <v>540</v>
      </c>
      <c r="E5" s="51">
        <f>Assumptions!E6</f>
        <v>577.80000000000007</v>
      </c>
      <c r="F5" s="51">
        <f>Assumptions!F6</f>
        <v>612.46800000000007</v>
      </c>
      <c r="G5" s="51">
        <f>Assumptions!G6</f>
        <v>643.09140000000014</v>
      </c>
    </row>
    <row r="6" spans="2:8" ht="18" customHeight="1" x14ac:dyDescent="0.25">
      <c r="B6" s="46" t="s">
        <v>83</v>
      </c>
      <c r="C6" s="4">
        <f>C5*Assumptions!C9</f>
        <v>110</v>
      </c>
      <c r="D6" s="4">
        <f>D5*Assumptions!D9</f>
        <v>124.2</v>
      </c>
      <c r="E6" s="4">
        <f>E5*Assumptions!E9</f>
        <v>138.672</v>
      </c>
      <c r="F6" s="4">
        <f>F5*Assumptions!F9</f>
        <v>153.11700000000002</v>
      </c>
      <c r="G6" s="4">
        <f>G5*Assumptions!G9</f>
        <v>167.20376400000004</v>
      </c>
    </row>
    <row r="7" spans="2:8" ht="18" customHeight="1" x14ac:dyDescent="0.25">
      <c r="B7" s="47" t="s">
        <v>84</v>
      </c>
      <c r="C7" s="3">
        <f>Support!C7</f>
        <v>20</v>
      </c>
      <c r="D7" s="3">
        <f>Support!D7</f>
        <v>21.6</v>
      </c>
      <c r="E7" s="3">
        <f>Support!E7</f>
        <v>23.112000000000002</v>
      </c>
      <c r="F7" s="3">
        <f>Support!F7</f>
        <v>24.498720000000002</v>
      </c>
      <c r="G7" s="3">
        <f>Support!G7</f>
        <v>25.723656000000005</v>
      </c>
    </row>
    <row r="8" spans="2:8" ht="18" customHeight="1" x14ac:dyDescent="0.25">
      <c r="B8" s="46" t="s">
        <v>85</v>
      </c>
      <c r="C8" s="4">
        <f>C6-C7</f>
        <v>90</v>
      </c>
      <c r="D8" s="4">
        <f t="shared" ref="D8:G8" si="0">D6-D7</f>
        <v>102.6</v>
      </c>
      <c r="E8" s="4">
        <f t="shared" si="0"/>
        <v>115.56</v>
      </c>
      <c r="F8" s="4">
        <f t="shared" si="0"/>
        <v>128.61828000000003</v>
      </c>
      <c r="G8" s="4">
        <f t="shared" si="0"/>
        <v>141.48010800000003</v>
      </c>
    </row>
    <row r="9" spans="2:8" ht="18" customHeight="1" x14ac:dyDescent="0.25">
      <c r="B9" s="55" t="s">
        <v>86</v>
      </c>
      <c r="C9" s="73">
        <f>-C8*Assumptions!C13</f>
        <v>-18.899999999999999</v>
      </c>
      <c r="D9" s="73">
        <f>-D8*Assumptions!D13</f>
        <v>-21.545999999999999</v>
      </c>
      <c r="E9" s="73">
        <f>-E8*Assumptions!E13</f>
        <v>-24.267599999999998</v>
      </c>
      <c r="F9" s="73">
        <f>-F8*Assumptions!F13</f>
        <v>-27.009838800000004</v>
      </c>
      <c r="G9" s="73">
        <f>-G8*Assumptions!G13</f>
        <v>-29.710822680000007</v>
      </c>
    </row>
    <row r="10" spans="2:8" ht="18" customHeight="1" x14ac:dyDescent="0.25">
      <c r="B10" s="52" t="s">
        <v>87</v>
      </c>
      <c r="C10" s="74">
        <f>C8+C9</f>
        <v>71.099999999999994</v>
      </c>
      <c r="D10" s="74">
        <f>D8+D9</f>
        <v>81.054000000000002</v>
      </c>
      <c r="E10" s="74">
        <f>E8+E9</f>
        <v>91.292400000000001</v>
      </c>
      <c r="F10" s="74">
        <f>F8+F9</f>
        <v>101.60844120000002</v>
      </c>
      <c r="G10" s="74">
        <f>G8+G9</f>
        <v>111.76928532000002</v>
      </c>
    </row>
    <row r="11" spans="2:8" ht="18" customHeight="1" x14ac:dyDescent="0.25">
      <c r="B11" s="54" t="s">
        <v>88</v>
      </c>
      <c r="C11" s="54"/>
      <c r="D11" s="54"/>
      <c r="E11" s="54"/>
      <c r="F11" s="54"/>
      <c r="G11" s="54"/>
    </row>
    <row r="12" spans="2:8" ht="18" customHeight="1" x14ac:dyDescent="0.25">
      <c r="B12" s="57" t="s">
        <v>89</v>
      </c>
      <c r="C12" s="51">
        <f>C7</f>
        <v>20</v>
      </c>
      <c r="D12" s="51">
        <f t="shared" ref="D12:G12" si="1">D7</f>
        <v>21.6</v>
      </c>
      <c r="E12" s="51">
        <f t="shared" si="1"/>
        <v>23.112000000000002</v>
      </c>
      <c r="F12" s="51">
        <f t="shared" si="1"/>
        <v>24.498720000000002</v>
      </c>
      <c r="G12" s="51">
        <f t="shared" si="1"/>
        <v>25.723656000000005</v>
      </c>
    </row>
    <row r="13" spans="2:8" ht="18" customHeight="1" x14ac:dyDescent="0.25">
      <c r="B13" s="47" t="s">
        <v>90</v>
      </c>
      <c r="C13" s="3">
        <f>-C5*Assumptions!C12</f>
        <v>-30</v>
      </c>
      <c r="D13" s="3">
        <f>-D5*Assumptions!D12</f>
        <v>-32.4</v>
      </c>
      <c r="E13" s="3">
        <f>-E5*Assumptions!E12</f>
        <v>-28.890000000000004</v>
      </c>
      <c r="F13" s="3">
        <f>-F5*Assumptions!F12</f>
        <v>-30.623400000000004</v>
      </c>
      <c r="G13" s="3">
        <f>-G5*Assumptions!G12</f>
        <v>-32.154570000000007</v>
      </c>
    </row>
    <row r="14" spans="2:8" ht="18" customHeight="1" x14ac:dyDescent="0.25">
      <c r="B14" s="47" t="s">
        <v>91</v>
      </c>
      <c r="C14" s="5">
        <f>Support!C16</f>
        <v>57.191780821917817</v>
      </c>
      <c r="D14" s="5">
        <f>Support!D16</f>
        <v>61.767123287671232</v>
      </c>
      <c r="E14" s="5">
        <f>Support!E16</f>
        <v>62.560701369863018</v>
      </c>
      <c r="F14" s="5">
        <f>Support!F16</f>
        <v>66.431803068493167</v>
      </c>
      <c r="G14" s="5">
        <f>Support!G16</f>
        <v>65.930082706849319</v>
      </c>
    </row>
    <row r="15" spans="2:8" ht="18" customHeight="1" x14ac:dyDescent="0.25">
      <c r="B15" s="55" t="s">
        <v>92</v>
      </c>
      <c r="C15" s="73">
        <f>0</f>
        <v>0</v>
      </c>
      <c r="D15" s="73">
        <f>-(D14-C14)</f>
        <v>-4.5753424657534154</v>
      </c>
      <c r="E15" s="73">
        <f>-(E14-D14)</f>
        <v>-0.79357808219178594</v>
      </c>
      <c r="F15" s="73">
        <f>-(F14-E14)</f>
        <v>-3.8711016986301487</v>
      </c>
      <c r="G15" s="73">
        <f>-(G14-F14)</f>
        <v>0.50172036164384792</v>
      </c>
    </row>
    <row r="16" spans="2:8" ht="18" customHeight="1" x14ac:dyDescent="0.25">
      <c r="B16" s="54" t="s">
        <v>93</v>
      </c>
      <c r="C16" s="54"/>
      <c r="D16" s="54"/>
      <c r="E16" s="54"/>
      <c r="F16" s="54"/>
      <c r="G16" s="54"/>
    </row>
    <row r="17" spans="2:7" ht="18" customHeight="1" x14ac:dyDescent="0.25">
      <c r="B17" s="100" t="s">
        <v>94</v>
      </c>
      <c r="C17" s="101">
        <f>C10+C12+C13+C15</f>
        <v>61.099999999999994</v>
      </c>
      <c r="D17" s="101">
        <f>D10+D12+D13+D15</f>
        <v>65.678657534246582</v>
      </c>
      <c r="E17" s="101">
        <f>E10+E12+E13+E15</f>
        <v>84.720821917808223</v>
      </c>
      <c r="F17" s="101">
        <f>F10+F12+F13+F15</f>
        <v>91.612659501369876</v>
      </c>
      <c r="G17" s="101">
        <f>G10+G12+G13+G15</f>
        <v>105.84009168164387</v>
      </c>
    </row>
    <row r="18" spans="2:7" ht="18" customHeight="1" x14ac:dyDescent="0.25">
      <c r="B18" s="54" t="s">
        <v>154</v>
      </c>
      <c r="C18" s="54"/>
      <c r="D18" s="54"/>
      <c r="E18" s="54"/>
      <c r="F18" s="54"/>
      <c r="G18" s="54"/>
    </row>
    <row r="19" spans="2:7" ht="18" customHeight="1" x14ac:dyDescent="0.25">
      <c r="B19" s="57" t="s">
        <v>95</v>
      </c>
      <c r="C19" s="102">
        <f>((WACC!C6+(WACC!C8/(1+(1-WACC!C13)*WACC!D17/WACC!D16))*(1+(1-WACC!C13)*Support!C22/WACC!D16)*WACC!C7+WACC!C9)*(WACC!D16/(WACC!D16+Support!C22))+WACC!D14*(Support!C22/(WACC!D16+Support!C22)))</f>
        <v>0.10278715612684403</v>
      </c>
      <c r="D19" s="102">
        <f>((WACC!C6+(WACC!C8/(1+(1-WACC!C13)*WACC!D17/WACC!D16))*(1+(1-WACC!C13)*Support!D22/WACC!D16)*WACC!C7+WACC!C9)*(WACC!D16/(WACC!D16+Support!D22))+WACC!D14*(Support!D22/(WACC!D16+Support!D22)))</f>
        <v>0.10285314357331127</v>
      </c>
      <c r="E19" s="102">
        <f>((WACC!C6+(WACC!C8/(1+(1-WACC!C13)*WACC!D17/WACC!D16))*(1+(1-WACC!C13)*Support!E22/WACC!D16)*WACC!C7+WACC!C9)*(WACC!D16/(WACC!D16+Support!E22))+WACC!D14*(Support!E22/(WACC!D16+Support!E22)))</f>
        <v>0.10291988516202387</v>
      </c>
      <c r="F19" s="102">
        <f>((WACC!C6+(WACC!C8/(1+(1-WACC!C13)*WACC!D17/WACC!D16))*(1+(1-WACC!C13)*Support!F22/WACC!D16)*WACC!C7+WACC!C9)*(WACC!D16/(WACC!D16+Support!F22))+WACC!D14*(Support!F22/(WACC!D16+Support!F22)))</f>
        <v>0.10298739389543431</v>
      </c>
      <c r="G19" s="102">
        <f>((WACC!C6+(WACC!C8/(1+(1-WACC!C13)*WACC!D17/WACC!D16))*(1+(1-WACC!C13)*Support!G22/WACC!D16)*WACC!C7+WACC!C9)*(WACC!D16/(WACC!D16+Support!G22))+WACC!D14*(Support!G22/(WACC!D16+Support!G22)))</f>
        <v>0.10305568307662982</v>
      </c>
    </row>
    <row r="20" spans="2:7" ht="18" customHeight="1" x14ac:dyDescent="0.25">
      <c r="B20" s="47" t="s">
        <v>96</v>
      </c>
      <c r="C20" s="6">
        <f>0+0.5</f>
        <v>0.5</v>
      </c>
      <c r="D20" s="6">
        <f>1+0.5</f>
        <v>1.5</v>
      </c>
      <c r="E20" s="6">
        <f>2+0.5</f>
        <v>2.5</v>
      </c>
      <c r="F20" s="6">
        <f>3+0.5</f>
        <v>3.5</v>
      </c>
      <c r="G20" s="6">
        <f>4+0.5</f>
        <v>4.5</v>
      </c>
    </row>
    <row r="21" spans="2:7" ht="18" customHeight="1" x14ac:dyDescent="0.25">
      <c r="B21" s="47" t="s">
        <v>97</v>
      </c>
      <c r="C21" s="7">
        <f>1/(1+C19)^C20</f>
        <v>0.95225694847437514</v>
      </c>
      <c r="D21" s="7">
        <f>1/(1+D19)^D20</f>
        <v>0.86342271880409771</v>
      </c>
      <c r="E21" s="7">
        <f>1/(1+E19)^E20</f>
        <v>0.78278065202586999</v>
      </c>
      <c r="F21" s="7">
        <f>1/(1+F19)^F20</f>
        <v>0.70958279844293382</v>
      </c>
      <c r="G21" s="7">
        <f>1/(1+G19)^G20</f>
        <v>0.64314890673190817</v>
      </c>
    </row>
    <row r="22" spans="2:7" ht="18" customHeight="1" x14ac:dyDescent="0.25">
      <c r="B22" s="46" t="s">
        <v>98</v>
      </c>
      <c r="C22" s="4">
        <f>C17*C21</f>
        <v>58.182899551784317</v>
      </c>
      <c r="D22" s="4">
        <f>D17*D21</f>
        <v>56.70844505562242</v>
      </c>
      <c r="E22" s="4">
        <f>E17*E21</f>
        <v>66.317820220989532</v>
      </c>
      <c r="F22" s="4">
        <f>F17*F21</f>
        <v>65.006767301781665</v>
      </c>
      <c r="G22" s="4">
        <f>G17*G21</f>
        <v>68.070939253454185</v>
      </c>
    </row>
    <row r="23" spans="2:7" ht="18" customHeight="1" x14ac:dyDescent="0.25">
      <c r="B23" s="69" t="s">
        <v>99</v>
      </c>
      <c r="C23" s="103">
        <f>SUM(C22:G22)</f>
        <v>314.2868713836321</v>
      </c>
    </row>
    <row r="24" spans="2:7" ht="18" customHeight="1" x14ac:dyDescent="0.25">
      <c r="B24" s="63" t="s">
        <v>153</v>
      </c>
      <c r="C24" s="63"/>
      <c r="D24" s="11"/>
      <c r="E24" s="11"/>
      <c r="F24" s="11"/>
      <c r="G24" s="11"/>
    </row>
    <row r="25" spans="2:7" ht="18" customHeight="1" x14ac:dyDescent="0.25">
      <c r="B25" s="57" t="s">
        <v>100</v>
      </c>
      <c r="C25" s="104">
        <f>Assumptions!C19</f>
        <v>0.02</v>
      </c>
    </row>
    <row r="26" spans="2:7" ht="18" customHeight="1" x14ac:dyDescent="0.25">
      <c r="B26" s="46" t="s">
        <v>101</v>
      </c>
      <c r="C26" s="4">
        <f>G17*(1+C25)</f>
        <v>107.95689351527675</v>
      </c>
    </row>
    <row r="27" spans="2:7" ht="18" customHeight="1" x14ac:dyDescent="0.25">
      <c r="B27" s="46" t="s">
        <v>102</v>
      </c>
      <c r="C27" s="4">
        <f>C26/(G19-C25)</f>
        <v>1299.8134446221131</v>
      </c>
    </row>
    <row r="28" spans="2:7" ht="18" customHeight="1" x14ac:dyDescent="0.25">
      <c r="B28" s="69" t="s">
        <v>103</v>
      </c>
      <c r="C28" s="103">
        <f>C27/(1+G19)^5</f>
        <v>795.96476321305931</v>
      </c>
    </row>
    <row r="29" spans="2:7" ht="18" customHeight="1" x14ac:dyDescent="0.25">
      <c r="B29" s="63" t="s">
        <v>152</v>
      </c>
      <c r="C29" s="63"/>
      <c r="D29" s="11"/>
      <c r="E29" s="11"/>
      <c r="F29" s="11"/>
      <c r="G29" s="11"/>
    </row>
    <row r="30" spans="2:7" ht="18" customHeight="1" x14ac:dyDescent="0.25">
      <c r="B30" s="57" t="s">
        <v>104</v>
      </c>
      <c r="C30" s="105">
        <f>Assumptions!C20</f>
        <v>8</v>
      </c>
    </row>
    <row r="31" spans="2:7" ht="18" customHeight="1" x14ac:dyDescent="0.25">
      <c r="B31" s="46" t="s">
        <v>105</v>
      </c>
      <c r="C31" s="4">
        <f>G6*(1+C25)</f>
        <v>170.54783928000003</v>
      </c>
    </row>
    <row r="32" spans="2:7" ht="18" customHeight="1" x14ac:dyDescent="0.25">
      <c r="B32" s="46" t="s">
        <v>106</v>
      </c>
      <c r="C32" s="4">
        <f>C30*C31</f>
        <v>1364.3827142400003</v>
      </c>
    </row>
    <row r="33" spans="2:7" ht="18" customHeight="1" x14ac:dyDescent="0.25">
      <c r="B33" s="46" t="s">
        <v>107</v>
      </c>
      <c r="C33" s="4">
        <f>C32/(1+G19)^5</f>
        <v>835.50494770252158</v>
      </c>
    </row>
    <row r="34" spans="2:7" ht="18" customHeight="1" x14ac:dyDescent="0.25">
      <c r="B34" s="46" t="s">
        <v>108</v>
      </c>
      <c r="C34" s="4">
        <f>AVERAGE(C28,C33)</f>
        <v>815.73485545779045</v>
      </c>
    </row>
    <row r="35" spans="2:7" ht="18" customHeight="1" x14ac:dyDescent="0.25">
      <c r="B35" s="95" t="s">
        <v>109</v>
      </c>
      <c r="C35" s="8">
        <f>(G19*C32-G17)/(C32+G17)</f>
        <v>2.3647640869310888E-2</v>
      </c>
    </row>
    <row r="36" spans="2:7" ht="18" customHeight="1" x14ac:dyDescent="0.25">
      <c r="B36" s="12" t="s">
        <v>146</v>
      </c>
      <c r="C36" s="13" t="str">
        <f>IF(C35&gt;0.03,"AGGRESSIVE - implied g exceeds long-run GDP; revise exit multiple downward",IF(C35&lt;0," NEGATIVE - review assumptions"," REASONABLE - implied g within 2%–3% GDP range"))</f>
        <v xml:space="preserve"> REASONABLE - implied g within 2%–3% GDP range</v>
      </c>
      <c r="D36" s="13"/>
      <c r="E36" s="13"/>
      <c r="F36" s="13"/>
      <c r="G36" s="13"/>
    </row>
    <row r="37" spans="2:7" ht="18" customHeight="1" x14ac:dyDescent="0.25">
      <c r="B37" s="55" t="s">
        <v>110</v>
      </c>
      <c r="C37" s="71">
        <f>IF((C23+C34)&gt;0,C34/(C23+C34),0)</f>
        <v>0.72187537290799686</v>
      </c>
    </row>
    <row r="38" spans="2:7" ht="18" customHeight="1" x14ac:dyDescent="0.25">
      <c r="B38" s="63" t="s">
        <v>149</v>
      </c>
      <c r="C38" s="63"/>
    </row>
    <row r="39" spans="2:7" ht="18" customHeight="1" x14ac:dyDescent="0.25">
      <c r="B39" s="49" t="s">
        <v>111</v>
      </c>
      <c r="C39" s="106">
        <f>C23+C34</f>
        <v>1130.0217268414226</v>
      </c>
    </row>
    <row r="40" spans="2:7" ht="18" customHeight="1" x14ac:dyDescent="0.25">
      <c r="B40" s="47" t="s">
        <v>112</v>
      </c>
      <c r="C40" s="5">
        <f>Assumptions!C24</f>
        <v>250</v>
      </c>
    </row>
    <row r="41" spans="2:7" ht="18" customHeight="1" x14ac:dyDescent="0.25">
      <c r="B41" s="47" t="s">
        <v>113</v>
      </c>
      <c r="C41" s="5">
        <f>Assumptions!C25</f>
        <v>0</v>
      </c>
    </row>
    <row r="42" spans="2:7" ht="18" customHeight="1" x14ac:dyDescent="0.25">
      <c r="B42" s="47" t="s">
        <v>114</v>
      </c>
      <c r="C42" s="5">
        <f>Assumptions!C23</f>
        <v>120</v>
      </c>
    </row>
    <row r="43" spans="2:7" ht="18" customHeight="1" x14ac:dyDescent="0.25">
      <c r="B43" s="46" t="s">
        <v>115</v>
      </c>
      <c r="C43" s="5">
        <f>C39-C40-C41+C42</f>
        <v>1000.0217268414226</v>
      </c>
    </row>
    <row r="44" spans="2:7" ht="18" customHeight="1" x14ac:dyDescent="0.25">
      <c r="B44" s="47" t="s">
        <v>116</v>
      </c>
      <c r="C44" s="5">
        <f>Assumptions!C26</f>
        <v>100</v>
      </c>
    </row>
    <row r="45" spans="2:7" ht="18" customHeight="1" x14ac:dyDescent="0.25">
      <c r="B45" s="46" t="s">
        <v>117</v>
      </c>
      <c r="C45" s="9">
        <f>C43/C44</f>
        <v>10.000217268414225</v>
      </c>
    </row>
    <row r="46" spans="2:7" ht="18" customHeight="1" x14ac:dyDescent="0.25">
      <c r="B46" s="96" t="s">
        <v>118</v>
      </c>
      <c r="C46" s="10">
        <f>Assumptions!C27</f>
        <v>42</v>
      </c>
    </row>
    <row r="47" spans="2:7" ht="18" customHeight="1" x14ac:dyDescent="0.25">
      <c r="B47" s="69" t="s">
        <v>14</v>
      </c>
      <c r="C47" s="107">
        <f>C45/C46-1</f>
        <v>-0.76189958884728037</v>
      </c>
    </row>
    <row r="48" spans="2:7" ht="18" customHeight="1" x14ac:dyDescent="0.25">
      <c r="B48" s="63" t="s">
        <v>150</v>
      </c>
      <c r="C48" s="63"/>
    </row>
    <row r="49" spans="2:3" ht="18" customHeight="1" x14ac:dyDescent="0.25">
      <c r="B49" s="57" t="s">
        <v>119</v>
      </c>
      <c r="C49" s="51">
        <f>C23+C28</f>
        <v>1110.2516345966915</v>
      </c>
    </row>
    <row r="50" spans="2:3" ht="18" customHeight="1" x14ac:dyDescent="0.25">
      <c r="B50" s="47" t="s">
        <v>120</v>
      </c>
      <c r="C50" s="3">
        <f>C23+C33</f>
        <v>1149.7918190861537</v>
      </c>
    </row>
    <row r="51" spans="2:3" ht="18" customHeight="1" x14ac:dyDescent="0.25">
      <c r="B51" s="47" t="s">
        <v>121</v>
      </c>
      <c r="C51" s="3">
        <f>C23+C34</f>
        <v>1130.0217268414226</v>
      </c>
    </row>
    <row r="52" spans="2:3" ht="18" customHeight="1" x14ac:dyDescent="0.25">
      <c r="B52" s="47" t="s">
        <v>122</v>
      </c>
      <c r="C52" s="9">
        <f>(C23+C28-Assumptions!C24-Assumptions!C25+Assumptions!C23)/Assumptions!C26</f>
        <v>9.8025163459669145</v>
      </c>
    </row>
    <row r="53" spans="2:3" ht="18" customHeight="1" x14ac:dyDescent="0.25">
      <c r="B53" s="47" t="s">
        <v>123</v>
      </c>
      <c r="C53" s="9">
        <f>(C23+C33-Assumptions!C24-Assumptions!C25+Assumptions!C23)/Assumptions!C26</f>
        <v>10.197918190861538</v>
      </c>
    </row>
    <row r="54" spans="2:3" ht="18" customHeight="1" x14ac:dyDescent="0.25">
      <c r="B54" s="46" t="s">
        <v>151</v>
      </c>
      <c r="C54" s="9">
        <f>C43/C44</f>
        <v>10.000217268414225</v>
      </c>
    </row>
  </sheetData>
  <mergeCells count="10">
    <mergeCell ref="B38:C38"/>
    <mergeCell ref="B48:C48"/>
    <mergeCell ref="B24:C24"/>
    <mergeCell ref="C36:G36"/>
    <mergeCell ref="B4:G4"/>
    <mergeCell ref="B11:G11"/>
    <mergeCell ref="B16:G16"/>
    <mergeCell ref="B18:G18"/>
    <mergeCell ref="B1:H2"/>
    <mergeCell ref="B29:C29"/>
  </mergeCells>
  <pageMargins left="0.75" right="0.75" top="1" bottom="1" header="0.511811023622047" footer="0.511811023622047"/>
  <pageSetup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E74C3C"/>
    <pageSetUpPr fitToPage="1"/>
  </sheetPr>
  <dimension ref="B1:K40"/>
  <sheetViews>
    <sheetView showGridLines="0"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F32" sqref="F32"/>
    </sheetView>
  </sheetViews>
  <sheetFormatPr defaultColWidth="8.7109375" defaultRowHeight="15" x14ac:dyDescent="0.25"/>
  <cols>
    <col min="1" max="1" width="3" style="1" customWidth="1"/>
    <col min="2" max="2" width="26" style="1" customWidth="1"/>
    <col min="3" max="11" width="12" style="1" customWidth="1"/>
    <col min="12" max="16384" width="8.7109375" style="1"/>
  </cols>
  <sheetData>
    <row r="1" spans="2:11" ht="30" customHeight="1" x14ac:dyDescent="0.25">
      <c r="B1" s="67" t="s">
        <v>155</v>
      </c>
      <c r="C1" s="67"/>
      <c r="D1" s="67"/>
      <c r="E1" s="67"/>
      <c r="F1" s="67"/>
      <c r="G1" s="67"/>
      <c r="H1" s="67"/>
      <c r="I1" s="67"/>
      <c r="J1" s="67"/>
      <c r="K1" s="67"/>
    </row>
    <row r="2" spans="2:11" ht="3.75" customHeight="1" x14ac:dyDescent="0.25"/>
    <row r="3" spans="2:11" ht="21.75" customHeight="1" x14ac:dyDescent="0.25">
      <c r="B3" s="108"/>
      <c r="C3" s="108"/>
      <c r="D3" s="108"/>
      <c r="E3" s="108"/>
      <c r="F3" s="108"/>
      <c r="G3" s="108"/>
      <c r="H3" s="108"/>
      <c r="I3" s="108"/>
      <c r="J3" s="108"/>
      <c r="K3" s="108"/>
    </row>
    <row r="4" spans="2:11" ht="15" customHeight="1" x14ac:dyDescent="0.25"/>
    <row r="5" spans="2:11" ht="18" customHeight="1" x14ac:dyDescent="0.25">
      <c r="B5" s="115" t="s">
        <v>124</v>
      </c>
      <c r="C5" s="116"/>
      <c r="D5" s="116"/>
      <c r="E5" s="116"/>
      <c r="F5" s="116"/>
      <c r="G5" s="116"/>
      <c r="H5" s="116"/>
      <c r="I5" s="117"/>
      <c r="J5" s="11"/>
      <c r="K5" s="11"/>
    </row>
    <row r="6" spans="2:11" ht="19.5" customHeight="1" x14ac:dyDescent="0.25">
      <c r="B6" s="53" t="s">
        <v>125</v>
      </c>
      <c r="C6" s="110">
        <v>5.0000000000000001E-3</v>
      </c>
      <c r="D6" s="110">
        <v>0.01</v>
      </c>
      <c r="E6" s="110">
        <v>1.4999999999999999E-2</v>
      </c>
      <c r="F6" s="110">
        <v>0.02</v>
      </c>
      <c r="G6" s="110">
        <v>2.5000000000000001E-2</v>
      </c>
      <c r="H6" s="110">
        <v>0.03</v>
      </c>
      <c r="I6" s="110">
        <v>3.5000000000000003E-2</v>
      </c>
    </row>
    <row r="7" spans="2:11" ht="19.5" customHeight="1" x14ac:dyDescent="0.25">
      <c r="B7" s="110">
        <v>7.0000000000000007E-2</v>
      </c>
      <c r="C7" s="112">
        <v>13.98</v>
      </c>
      <c r="D7" s="112">
        <v>15.04</v>
      </c>
      <c r="E7" s="112">
        <v>16.28</v>
      </c>
      <c r="F7" s="112">
        <v>17.77</v>
      </c>
      <c r="G7" s="112">
        <v>19.59</v>
      </c>
      <c r="H7" s="112">
        <v>21.87</v>
      </c>
      <c r="I7" s="112">
        <v>24.8</v>
      </c>
    </row>
    <row r="8" spans="2:11" ht="19.5" customHeight="1" x14ac:dyDescent="0.25">
      <c r="B8" s="110">
        <v>0.08</v>
      </c>
      <c r="C8" s="112">
        <v>11.85</v>
      </c>
      <c r="D8" s="112">
        <v>12.61</v>
      </c>
      <c r="E8" s="112">
        <v>13.48</v>
      </c>
      <c r="F8" s="112">
        <v>14.49</v>
      </c>
      <c r="G8" s="112">
        <v>15.69</v>
      </c>
      <c r="H8" s="112">
        <v>17.12</v>
      </c>
      <c r="I8" s="112">
        <v>18.88</v>
      </c>
    </row>
    <row r="9" spans="2:11" ht="19.5" customHeight="1" x14ac:dyDescent="0.25">
      <c r="B9" s="110">
        <v>0.09</v>
      </c>
      <c r="C9" s="112">
        <v>10.23</v>
      </c>
      <c r="D9" s="112">
        <v>10.79</v>
      </c>
      <c r="E9" s="112">
        <v>11.43</v>
      </c>
      <c r="F9" s="112">
        <v>12.15</v>
      </c>
      <c r="G9" s="112">
        <v>12.99</v>
      </c>
      <c r="H9" s="112">
        <v>13.96</v>
      </c>
      <c r="I9" s="112">
        <v>15.12</v>
      </c>
    </row>
    <row r="10" spans="2:11" ht="19.5" customHeight="1" x14ac:dyDescent="0.25">
      <c r="B10" s="110">
        <v>0.1</v>
      </c>
      <c r="C10" s="112">
        <v>8.9499999999999993</v>
      </c>
      <c r="D10" s="112">
        <v>9.3800000000000008</v>
      </c>
      <c r="E10" s="112">
        <v>9.86</v>
      </c>
      <c r="F10" s="113">
        <v>10.4</v>
      </c>
      <c r="G10" s="112">
        <v>11.02</v>
      </c>
      <c r="H10" s="112">
        <v>11.71</v>
      </c>
      <c r="I10" s="112">
        <v>12.52</v>
      </c>
    </row>
    <row r="11" spans="2:11" ht="19.5" customHeight="1" x14ac:dyDescent="0.25">
      <c r="B11" s="110">
        <v>0.11</v>
      </c>
      <c r="C11" s="112">
        <v>7.92</v>
      </c>
      <c r="D11" s="112">
        <v>8.26</v>
      </c>
      <c r="E11" s="112">
        <v>8.6300000000000008</v>
      </c>
      <c r="F11" s="112">
        <v>9.0500000000000007</v>
      </c>
      <c r="G11" s="112">
        <v>9.51</v>
      </c>
      <c r="H11" s="112">
        <v>10.029999999999999</v>
      </c>
      <c r="I11" s="112">
        <v>10.62</v>
      </c>
    </row>
    <row r="12" spans="2:11" ht="19.5" customHeight="1" x14ac:dyDescent="0.25">
      <c r="B12" s="110">
        <v>0.12</v>
      </c>
      <c r="C12" s="112">
        <v>7.08</v>
      </c>
      <c r="D12" s="112">
        <v>7.35</v>
      </c>
      <c r="E12" s="112">
        <v>7.64</v>
      </c>
      <c r="F12" s="112">
        <v>7.97</v>
      </c>
      <c r="G12" s="112">
        <v>8.33</v>
      </c>
      <c r="H12" s="112">
        <v>8.73</v>
      </c>
      <c r="I12" s="112">
        <v>9.17</v>
      </c>
    </row>
    <row r="13" spans="2:11" ht="19.5" customHeight="1" x14ac:dyDescent="0.25">
      <c r="B13" s="110">
        <v>0.13</v>
      </c>
      <c r="C13" s="112">
        <v>6.37</v>
      </c>
      <c r="D13" s="112">
        <v>6.59</v>
      </c>
      <c r="E13" s="112">
        <v>6.83</v>
      </c>
      <c r="F13" s="112">
        <v>7.09</v>
      </c>
      <c r="G13" s="112">
        <v>7.37</v>
      </c>
      <c r="H13" s="112">
        <v>7.69</v>
      </c>
      <c r="I13" s="112">
        <v>8.0399999999999991</v>
      </c>
    </row>
    <row r="14" spans="2:11" ht="15" customHeight="1" x14ac:dyDescent="0.25"/>
    <row r="15" spans="2:11" ht="15" customHeight="1" x14ac:dyDescent="0.25"/>
    <row r="16" spans="2:11" ht="18" customHeight="1" x14ac:dyDescent="0.25">
      <c r="B16" s="114" t="s">
        <v>126</v>
      </c>
      <c r="C16" s="114"/>
      <c r="D16" s="114"/>
      <c r="E16" s="114"/>
      <c r="F16" s="114"/>
      <c r="G16" s="114"/>
      <c r="H16" s="114"/>
      <c r="I16" s="114"/>
      <c r="J16" s="114"/>
      <c r="K16" s="114"/>
    </row>
    <row r="17" spans="2:11" ht="19.5" customHeight="1" x14ac:dyDescent="0.25">
      <c r="B17" s="53" t="s">
        <v>125</v>
      </c>
      <c r="C17" s="111">
        <v>4</v>
      </c>
      <c r="D17" s="111">
        <v>5</v>
      </c>
      <c r="E17" s="111">
        <v>6</v>
      </c>
      <c r="F17" s="111">
        <v>7</v>
      </c>
      <c r="G17" s="111">
        <v>8</v>
      </c>
      <c r="H17" s="111">
        <v>9</v>
      </c>
      <c r="I17" s="111">
        <v>10</v>
      </c>
      <c r="J17" s="111">
        <v>11</v>
      </c>
      <c r="K17" s="111">
        <v>12</v>
      </c>
    </row>
    <row r="18" spans="2:11" ht="19.5" customHeight="1" x14ac:dyDescent="0.25">
      <c r="B18" s="110">
        <v>7.0000000000000007E-2</v>
      </c>
      <c r="C18" s="112">
        <v>7</v>
      </c>
      <c r="D18" s="112">
        <v>8.2100000000000009</v>
      </c>
      <c r="E18" s="112">
        <v>9.43</v>
      </c>
      <c r="F18" s="112">
        <v>10.64</v>
      </c>
      <c r="G18" s="112">
        <v>11.86</v>
      </c>
      <c r="H18" s="112">
        <v>13.08</v>
      </c>
      <c r="I18" s="112">
        <v>14.29</v>
      </c>
      <c r="J18" s="112">
        <v>15.51</v>
      </c>
      <c r="K18" s="112">
        <v>16.72</v>
      </c>
    </row>
    <row r="19" spans="2:11" ht="19.5" customHeight="1" x14ac:dyDescent="0.25">
      <c r="B19" s="110">
        <v>0.08</v>
      </c>
      <c r="C19" s="112">
        <v>6.69</v>
      </c>
      <c r="D19" s="112">
        <v>7.85</v>
      </c>
      <c r="E19" s="112">
        <v>9.01</v>
      </c>
      <c r="F19" s="112">
        <v>10.17</v>
      </c>
      <c r="G19" s="112">
        <v>11.33</v>
      </c>
      <c r="H19" s="112">
        <v>12.49</v>
      </c>
      <c r="I19" s="112">
        <v>13.66</v>
      </c>
      <c r="J19" s="112">
        <v>14.82</v>
      </c>
      <c r="K19" s="112">
        <v>15.98</v>
      </c>
    </row>
    <row r="20" spans="2:11" ht="19.5" customHeight="1" x14ac:dyDescent="0.25">
      <c r="B20" s="110">
        <v>0.09</v>
      </c>
      <c r="C20" s="112">
        <v>6.4</v>
      </c>
      <c r="D20" s="112">
        <v>7.51</v>
      </c>
      <c r="E20" s="112">
        <v>8.6199999999999992</v>
      </c>
      <c r="F20" s="112">
        <v>9.73</v>
      </c>
      <c r="G20" s="112">
        <v>10.84</v>
      </c>
      <c r="H20" s="112">
        <v>11.94</v>
      </c>
      <c r="I20" s="112">
        <v>13.05</v>
      </c>
      <c r="J20" s="112">
        <v>14.16</v>
      </c>
      <c r="K20" s="112">
        <v>15.27</v>
      </c>
    </row>
    <row r="21" spans="2:11" ht="19.5" customHeight="1" x14ac:dyDescent="0.25">
      <c r="B21" s="110">
        <v>0.1</v>
      </c>
      <c r="C21" s="112">
        <v>6.13</v>
      </c>
      <c r="D21" s="112">
        <v>7.19</v>
      </c>
      <c r="E21" s="112">
        <v>8.24</v>
      </c>
      <c r="F21" s="112">
        <v>9.3000000000000007</v>
      </c>
      <c r="G21" s="113">
        <v>10.36</v>
      </c>
      <c r="H21" s="112">
        <v>11.42</v>
      </c>
      <c r="I21" s="112">
        <v>12.48</v>
      </c>
      <c r="J21" s="112">
        <v>13.54</v>
      </c>
      <c r="K21" s="112">
        <v>14.6</v>
      </c>
    </row>
    <row r="22" spans="2:11" ht="19.5" customHeight="1" x14ac:dyDescent="0.25">
      <c r="B22" s="110">
        <v>0.11</v>
      </c>
      <c r="C22" s="112">
        <v>5.87</v>
      </c>
      <c r="D22" s="112">
        <v>6.88</v>
      </c>
      <c r="E22" s="112">
        <v>7.89</v>
      </c>
      <c r="F22" s="112">
        <v>8.9</v>
      </c>
      <c r="G22" s="112">
        <v>9.91</v>
      </c>
      <c r="H22" s="112">
        <v>10.93</v>
      </c>
      <c r="I22" s="112">
        <v>11.94</v>
      </c>
      <c r="J22" s="112">
        <v>12.95</v>
      </c>
      <c r="K22" s="112">
        <v>13.96</v>
      </c>
    </row>
    <row r="23" spans="2:11" ht="19.5" customHeight="1" x14ac:dyDescent="0.25">
      <c r="B23" s="110">
        <v>0.12</v>
      </c>
      <c r="C23" s="112">
        <v>5.62</v>
      </c>
      <c r="D23" s="112">
        <v>6.58</v>
      </c>
      <c r="E23" s="112">
        <v>7.55</v>
      </c>
      <c r="F23" s="112">
        <v>8.52</v>
      </c>
      <c r="G23" s="112">
        <v>9.49</v>
      </c>
      <c r="H23" s="112">
        <v>10.46</v>
      </c>
      <c r="I23" s="112">
        <v>11.42</v>
      </c>
      <c r="J23" s="112">
        <v>12.39</v>
      </c>
      <c r="K23" s="112">
        <v>13.36</v>
      </c>
    </row>
    <row r="24" spans="2:11" ht="19.5" customHeight="1" x14ac:dyDescent="0.25">
      <c r="B24" s="110">
        <v>0.13</v>
      </c>
      <c r="C24" s="112">
        <v>5.38</v>
      </c>
      <c r="D24" s="112">
        <v>6.31</v>
      </c>
      <c r="E24" s="112">
        <v>7.23</v>
      </c>
      <c r="F24" s="112">
        <v>8.16</v>
      </c>
      <c r="G24" s="112">
        <v>9.08</v>
      </c>
      <c r="H24" s="112">
        <v>10.01</v>
      </c>
      <c r="I24" s="112">
        <v>10.93</v>
      </c>
      <c r="J24" s="112">
        <v>11.86</v>
      </c>
      <c r="K24" s="112">
        <v>12.79</v>
      </c>
    </row>
    <row r="25" spans="2:11" ht="15" customHeight="1" x14ac:dyDescent="0.25"/>
    <row r="26" spans="2:11" ht="15" customHeight="1" x14ac:dyDescent="0.25"/>
    <row r="27" spans="2:11" ht="18" customHeight="1" x14ac:dyDescent="0.25"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2:11" ht="15.75" customHeight="1" x14ac:dyDescent="0.25">
      <c r="B28" s="45"/>
      <c r="C28" s="109"/>
      <c r="D28" s="109"/>
      <c r="E28" s="109"/>
      <c r="F28" s="109"/>
      <c r="G28" s="109"/>
      <c r="H28" s="109"/>
      <c r="I28" s="109"/>
      <c r="J28" s="109"/>
      <c r="K28" s="109"/>
    </row>
    <row r="29" spans="2:11" ht="15.75" customHeight="1" x14ac:dyDescent="0.25">
      <c r="B29" s="45"/>
      <c r="C29" s="109"/>
      <c r="D29" s="109"/>
      <c r="E29" s="109"/>
      <c r="F29" s="109"/>
      <c r="G29" s="109"/>
      <c r="H29" s="109"/>
      <c r="I29" s="109"/>
      <c r="J29" s="109"/>
      <c r="K29" s="109"/>
    </row>
    <row r="30" spans="2:11" ht="15.75" customHeight="1" x14ac:dyDescent="0.25">
      <c r="B30" s="45"/>
      <c r="C30" s="109"/>
      <c r="D30" s="109"/>
      <c r="E30" s="109"/>
      <c r="F30" s="109"/>
      <c r="G30" s="109"/>
      <c r="H30" s="109"/>
      <c r="I30" s="109"/>
      <c r="J30" s="109"/>
      <c r="K30" s="109"/>
    </row>
    <row r="31" spans="2:11" ht="15.75" customHeight="1" x14ac:dyDescent="0.25">
      <c r="B31" s="45"/>
      <c r="C31" s="109"/>
      <c r="D31" s="109"/>
      <c r="E31" s="109"/>
      <c r="F31" s="109"/>
      <c r="G31" s="109"/>
      <c r="H31" s="109"/>
      <c r="I31" s="109"/>
      <c r="J31" s="109"/>
      <c r="K31" s="109"/>
    </row>
    <row r="32" spans="2:11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  <row r="38" ht="15" customHeight="1" x14ac:dyDescent="0.25"/>
    <row r="39" ht="15" customHeight="1" x14ac:dyDescent="0.25"/>
    <row r="40" ht="15" customHeight="1" x14ac:dyDescent="0.25"/>
  </sheetData>
  <mergeCells count="9">
    <mergeCell ref="C28:K28"/>
    <mergeCell ref="C29:K29"/>
    <mergeCell ref="C30:K30"/>
    <mergeCell ref="C31:K31"/>
    <mergeCell ref="B1:K1"/>
    <mergeCell ref="B3:K3"/>
    <mergeCell ref="B16:K16"/>
    <mergeCell ref="B27:K27"/>
    <mergeCell ref="B5:I5"/>
  </mergeCells>
  <pageMargins left="0.75" right="0.75" top="1" bottom="1" header="0.511811023622047" footer="0.511811023622047"/>
  <pageSetup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BDC3C7"/>
    <pageSetUpPr fitToPage="1"/>
  </sheetPr>
  <dimension ref="B1:H81"/>
  <sheetViews>
    <sheetView showGridLines="0" tabSelected="1"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J13" sqref="J13"/>
    </sheetView>
  </sheetViews>
  <sheetFormatPr defaultColWidth="8.7109375" defaultRowHeight="15" x14ac:dyDescent="0.25"/>
  <cols>
    <col min="1" max="1" width="3" style="1" customWidth="1"/>
    <col min="2" max="2" width="36" style="1" customWidth="1"/>
    <col min="3" max="7" width="14" style="1" customWidth="1"/>
    <col min="8" max="8" width="10" style="1" customWidth="1"/>
    <col min="9" max="16384" width="8.7109375" style="1"/>
  </cols>
  <sheetData>
    <row r="1" spans="2:8" ht="31.5" customHeight="1" x14ac:dyDescent="0.25">
      <c r="B1" s="59" t="s">
        <v>156</v>
      </c>
      <c r="C1" s="59"/>
      <c r="D1" s="59"/>
      <c r="E1" s="59"/>
      <c r="F1" s="59"/>
      <c r="G1" s="59"/>
      <c r="H1" s="59"/>
    </row>
    <row r="2" spans="2:8" ht="3.75" customHeight="1" x14ac:dyDescent="0.25"/>
    <row r="3" spans="2:8" ht="19.5" customHeight="1" x14ac:dyDescent="0.25">
      <c r="B3" s="52" t="s">
        <v>80</v>
      </c>
      <c r="C3" s="53" t="s">
        <v>30</v>
      </c>
      <c r="D3" s="53" t="s">
        <v>31</v>
      </c>
      <c r="E3" s="53" t="s">
        <v>32</v>
      </c>
      <c r="F3" s="53" t="s">
        <v>33</v>
      </c>
      <c r="G3" s="53" t="s">
        <v>34</v>
      </c>
    </row>
    <row r="4" spans="2:8" ht="18" customHeight="1" x14ac:dyDescent="0.25">
      <c r="B4" s="63" t="s">
        <v>127</v>
      </c>
      <c r="C4" s="63"/>
      <c r="D4" s="63"/>
      <c r="E4" s="63"/>
      <c r="F4" s="63"/>
      <c r="G4" s="63"/>
    </row>
    <row r="5" spans="2:8" ht="18" customHeight="1" x14ac:dyDescent="0.25">
      <c r="B5" s="124" t="s">
        <v>128</v>
      </c>
      <c r="C5" s="120">
        <f>300</f>
        <v>300</v>
      </c>
      <c r="D5" s="51">
        <f>C8</f>
        <v>310</v>
      </c>
      <c r="E5" s="51">
        <f>D8</f>
        <v>320.79999999999995</v>
      </c>
      <c r="F5" s="51">
        <f>E8</f>
        <v>326.57799999999992</v>
      </c>
      <c r="G5" s="51">
        <f>F8</f>
        <v>332.70267999999993</v>
      </c>
    </row>
    <row r="6" spans="2:8" ht="18" customHeight="1" x14ac:dyDescent="0.25">
      <c r="B6" s="124" t="s">
        <v>129</v>
      </c>
      <c r="C6" s="121">
        <f>Assumptions!C6*Assumptions!C12</f>
        <v>30</v>
      </c>
      <c r="D6" s="3">
        <f>Assumptions!D6*Assumptions!D12</f>
        <v>32.4</v>
      </c>
      <c r="E6" s="3">
        <f>Assumptions!E6*Assumptions!E12</f>
        <v>28.890000000000004</v>
      </c>
      <c r="F6" s="3">
        <f>Assumptions!F6*Assumptions!F12</f>
        <v>30.623400000000004</v>
      </c>
      <c r="G6" s="3">
        <f>Assumptions!G6*Assumptions!G12</f>
        <v>32.154570000000007</v>
      </c>
    </row>
    <row r="7" spans="2:8" ht="18" customHeight="1" x14ac:dyDescent="0.25">
      <c r="B7" s="124" t="s">
        <v>130</v>
      </c>
      <c r="C7" s="121">
        <f>Assumptions!C6*Assumptions!C11</f>
        <v>20</v>
      </c>
      <c r="D7" s="3">
        <f>Assumptions!D6*Assumptions!D11</f>
        <v>21.6</v>
      </c>
      <c r="E7" s="3">
        <f>Assumptions!E6*Assumptions!E11</f>
        <v>23.112000000000002</v>
      </c>
      <c r="F7" s="3">
        <f>Assumptions!F6*Assumptions!F11</f>
        <v>24.498720000000002</v>
      </c>
      <c r="G7" s="3">
        <f>Assumptions!G6*Assumptions!G11</f>
        <v>25.723656000000005</v>
      </c>
    </row>
    <row r="8" spans="2:8" ht="18" customHeight="1" x14ac:dyDescent="0.25">
      <c r="B8" s="125" t="s">
        <v>131</v>
      </c>
      <c r="C8" s="122">
        <f>C5+C6-C7</f>
        <v>310</v>
      </c>
      <c r="D8" s="4">
        <f>C8+D6-D7</f>
        <v>320.79999999999995</v>
      </c>
      <c r="E8" s="4">
        <f>D8+E6-E7</f>
        <v>326.57799999999992</v>
      </c>
      <c r="F8" s="4">
        <f>E8+F6-F7</f>
        <v>332.70267999999993</v>
      </c>
      <c r="G8" s="4">
        <f>F8+G6-G7</f>
        <v>339.1335939999999</v>
      </c>
    </row>
    <row r="9" spans="2:8" ht="18" customHeight="1" x14ac:dyDescent="0.25">
      <c r="B9" s="125" t="s">
        <v>132</v>
      </c>
      <c r="C9" s="123">
        <f>C7</f>
        <v>20</v>
      </c>
      <c r="D9" s="103">
        <f>D7</f>
        <v>21.6</v>
      </c>
      <c r="E9" s="103">
        <f>E7</f>
        <v>23.112000000000002</v>
      </c>
      <c r="F9" s="103">
        <f>F7</f>
        <v>24.498720000000002</v>
      </c>
      <c r="G9" s="103">
        <f>G7</f>
        <v>25.723656000000005</v>
      </c>
    </row>
    <row r="10" spans="2:8" ht="18" customHeight="1" x14ac:dyDescent="0.25">
      <c r="B10" s="63" t="s">
        <v>133</v>
      </c>
      <c r="C10" s="63"/>
      <c r="D10" s="63"/>
      <c r="E10" s="63"/>
      <c r="F10" s="63"/>
      <c r="G10" s="63"/>
    </row>
    <row r="11" spans="2:8" ht="18" customHeight="1" x14ac:dyDescent="0.25">
      <c r="B11" s="124" t="s">
        <v>82</v>
      </c>
      <c r="C11" s="120">
        <f>Assumptions!C6</f>
        <v>500</v>
      </c>
      <c r="D11" s="51">
        <f>Assumptions!D6</f>
        <v>540</v>
      </c>
      <c r="E11" s="51">
        <f>Assumptions!E6</f>
        <v>577.80000000000007</v>
      </c>
      <c r="F11" s="51">
        <f>Assumptions!F6</f>
        <v>612.46800000000007</v>
      </c>
      <c r="G11" s="51">
        <f>Assumptions!G6</f>
        <v>643.09140000000014</v>
      </c>
    </row>
    <row r="12" spans="2:8" ht="18" customHeight="1" x14ac:dyDescent="0.25">
      <c r="B12" s="128" t="s">
        <v>134</v>
      </c>
      <c r="C12" s="118">
        <f>C11*Assumptions!C10</f>
        <v>325</v>
      </c>
      <c r="D12" s="118">
        <f>D11*Assumptions!D10</f>
        <v>351</v>
      </c>
      <c r="E12" s="118">
        <f>E11*Assumptions!E10</f>
        <v>369.79200000000003</v>
      </c>
      <c r="F12" s="118">
        <f>F11*Assumptions!F10</f>
        <v>385.85484000000002</v>
      </c>
      <c r="G12" s="118">
        <f>G11*Assumptions!G10</f>
        <v>398.71666800000008</v>
      </c>
    </row>
    <row r="13" spans="2:8" ht="18" customHeight="1" x14ac:dyDescent="0.25">
      <c r="B13" s="124" t="s">
        <v>135</v>
      </c>
      <c r="C13" s="126">
        <f>C11*Assumptions!C15/365</f>
        <v>61.643835616438359</v>
      </c>
      <c r="D13" s="5">
        <f>D11*Assumptions!D15/365</f>
        <v>66.575342465753423</v>
      </c>
      <c r="E13" s="5">
        <f>E11*Assumptions!E15/365</f>
        <v>69.652602739726035</v>
      </c>
      <c r="F13" s="5">
        <f>F11*Assumptions!F15/365</f>
        <v>73.831758904109606</v>
      </c>
      <c r="G13" s="5">
        <f>G11*Assumptions!G15/365</f>
        <v>75.761452602739737</v>
      </c>
    </row>
    <row r="14" spans="2:8" ht="18" customHeight="1" x14ac:dyDescent="0.25">
      <c r="B14" s="124" t="s">
        <v>136</v>
      </c>
      <c r="C14" s="127">
        <f>C12*Assumptions!C16/365</f>
        <v>26.712328767123289</v>
      </c>
      <c r="D14" s="119">
        <f>D12*Assumptions!D16/365</f>
        <v>28.849315068493151</v>
      </c>
      <c r="E14" s="119">
        <f>E12*Assumptions!E16/365</f>
        <v>29.380734246575344</v>
      </c>
      <c r="F14" s="119">
        <f>F12*Assumptions!F16/365</f>
        <v>30.65695989041096</v>
      </c>
      <c r="G14" s="119">
        <f>G12*Assumptions!G16/365</f>
        <v>30.586484120547951</v>
      </c>
    </row>
    <row r="15" spans="2:8" ht="18" customHeight="1" x14ac:dyDescent="0.25">
      <c r="B15" s="124" t="s">
        <v>137</v>
      </c>
      <c r="C15" s="127">
        <f>C12*Assumptions!C17/365</f>
        <v>31.164383561643834</v>
      </c>
      <c r="D15" s="119">
        <f>D12*Assumptions!D17/365</f>
        <v>33.657534246575345</v>
      </c>
      <c r="E15" s="119">
        <f>E12*Assumptions!E17/365</f>
        <v>36.47263561643836</v>
      </c>
      <c r="F15" s="119">
        <f>F12*Assumptions!F17/365</f>
        <v>38.056915726027398</v>
      </c>
      <c r="G15" s="119">
        <f>G12*Assumptions!G17/365</f>
        <v>40.417854016438369</v>
      </c>
    </row>
    <row r="16" spans="2:8" ht="18" customHeight="1" x14ac:dyDescent="0.25">
      <c r="B16" s="125" t="s">
        <v>91</v>
      </c>
      <c r="C16" s="126">
        <f>C13+C14-C15</f>
        <v>57.191780821917817</v>
      </c>
      <c r="D16" s="5">
        <f>D13+D14-D15</f>
        <v>61.767123287671232</v>
      </c>
      <c r="E16" s="5">
        <f>E13+E14-E15</f>
        <v>62.560701369863018</v>
      </c>
      <c r="F16" s="5">
        <f>F13+F14-F15</f>
        <v>66.431803068493167</v>
      </c>
      <c r="G16" s="5">
        <f>G13+G14-G15</f>
        <v>65.930082706849319</v>
      </c>
    </row>
    <row r="17" spans="2:7" ht="18" customHeight="1" x14ac:dyDescent="0.25">
      <c r="B17" s="129" t="s">
        <v>138</v>
      </c>
      <c r="C17" s="118">
        <f>0</f>
        <v>0</v>
      </c>
      <c r="D17" s="118">
        <f>D16-C16</f>
        <v>4.5753424657534154</v>
      </c>
      <c r="E17" s="118">
        <f>E16-D16</f>
        <v>0.79357808219178594</v>
      </c>
      <c r="F17" s="118">
        <f>F16-E16</f>
        <v>3.8711016986301487</v>
      </c>
      <c r="G17" s="118">
        <f>G16-F16</f>
        <v>-0.50172036164384792</v>
      </c>
    </row>
    <row r="18" spans="2:7" ht="18" customHeight="1" x14ac:dyDescent="0.25">
      <c r="B18" s="63" t="s">
        <v>139</v>
      </c>
      <c r="C18" s="63"/>
      <c r="D18" s="63"/>
      <c r="E18" s="63"/>
      <c r="F18" s="63"/>
      <c r="G18" s="63"/>
    </row>
    <row r="19" spans="2:7" ht="18" customHeight="1" thickBot="1" x14ac:dyDescent="0.3">
      <c r="B19" s="124" t="s">
        <v>140</v>
      </c>
      <c r="C19" s="130">
        <v>250</v>
      </c>
      <c r="D19" s="51">
        <f>C22</f>
        <v>225</v>
      </c>
      <c r="E19" s="51">
        <f>D22</f>
        <v>200</v>
      </c>
      <c r="F19" s="51">
        <f>E22</f>
        <v>175</v>
      </c>
      <c r="G19" s="51">
        <f>F22</f>
        <v>150</v>
      </c>
    </row>
    <row r="20" spans="2:7" ht="18" customHeight="1" thickBot="1" x14ac:dyDescent="0.3">
      <c r="B20" s="124" t="s">
        <v>141</v>
      </c>
      <c r="C20" s="131">
        <v>0</v>
      </c>
      <c r="D20" s="36">
        <v>0</v>
      </c>
      <c r="E20" s="36">
        <v>0</v>
      </c>
      <c r="F20" s="36">
        <v>0</v>
      </c>
      <c r="G20" s="36">
        <v>0</v>
      </c>
    </row>
    <row r="21" spans="2:7" ht="18" customHeight="1" x14ac:dyDescent="0.25">
      <c r="B21" s="124" t="s">
        <v>142</v>
      </c>
      <c r="C21" s="131">
        <v>25</v>
      </c>
      <c r="D21" s="36">
        <v>25</v>
      </c>
      <c r="E21" s="36">
        <v>25</v>
      </c>
      <c r="F21" s="36">
        <v>25</v>
      </c>
      <c r="G21" s="36">
        <v>25</v>
      </c>
    </row>
    <row r="22" spans="2:7" ht="18" customHeight="1" x14ac:dyDescent="0.25">
      <c r="B22" s="125" t="s">
        <v>143</v>
      </c>
      <c r="C22" s="122">
        <f>C19+C20-C21</f>
        <v>225</v>
      </c>
      <c r="D22" s="4">
        <f>D19+D20-D21</f>
        <v>200</v>
      </c>
      <c r="E22" s="4">
        <f>E19+E20-E21</f>
        <v>175</v>
      </c>
      <c r="F22" s="4">
        <f>F19+F20-F21</f>
        <v>150</v>
      </c>
      <c r="G22" s="4">
        <f>G19+G20-G21</f>
        <v>125</v>
      </c>
    </row>
    <row r="23" spans="2:7" ht="18" customHeight="1" x14ac:dyDescent="0.25">
      <c r="B23" s="124" t="s">
        <v>144</v>
      </c>
      <c r="C23" s="121">
        <f>(C19+C21)/2</f>
        <v>137.5</v>
      </c>
      <c r="D23" s="3">
        <f>(D19+D21)/2</f>
        <v>125</v>
      </c>
      <c r="E23" s="3">
        <f>(E19+E21)/2</f>
        <v>112.5</v>
      </c>
      <c r="F23" s="3">
        <f>(F19+F21)/2</f>
        <v>100</v>
      </c>
      <c r="G23" s="3">
        <f>(G19+G21)/2</f>
        <v>87.5</v>
      </c>
    </row>
    <row r="24" spans="2:7" ht="15" customHeight="1" x14ac:dyDescent="0.25">
      <c r="B24" s="125" t="s">
        <v>145</v>
      </c>
      <c r="C24" s="122">
        <f>-C22*WACC!C12</f>
        <v>-12.375</v>
      </c>
      <c r="D24" s="4">
        <f>-D22*WACC!C12</f>
        <v>-11</v>
      </c>
      <c r="E24" s="4">
        <f>-E22*WACC!C12</f>
        <v>-9.625</v>
      </c>
      <c r="F24" s="4">
        <f>-F22*WACC!C12</f>
        <v>-8.25</v>
      </c>
      <c r="G24" s="4">
        <f>-G22*WACC!C12</f>
        <v>-6.875</v>
      </c>
    </row>
    <row r="25" spans="2:7" ht="15" customHeight="1" x14ac:dyDescent="0.25"/>
    <row r="26" spans="2:7" ht="15" customHeight="1" x14ac:dyDescent="0.25"/>
    <row r="27" spans="2:7" ht="15" customHeight="1" x14ac:dyDescent="0.25"/>
    <row r="28" spans="2:7" ht="15" customHeight="1" x14ac:dyDescent="0.25"/>
    <row r="29" spans="2:7" ht="15" customHeight="1" x14ac:dyDescent="0.25"/>
    <row r="30" spans="2:7" ht="15" customHeight="1" x14ac:dyDescent="0.25"/>
    <row r="31" spans="2:7" ht="15" customHeight="1" x14ac:dyDescent="0.25"/>
    <row r="32" spans="2:7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  <row r="38" ht="15" customHeight="1" x14ac:dyDescent="0.25"/>
    <row r="39" ht="15" customHeight="1" x14ac:dyDescent="0.25"/>
    <row r="40" ht="15" customHeight="1" x14ac:dyDescent="0.25"/>
    <row r="41" ht="15" customHeight="1" x14ac:dyDescent="0.25"/>
    <row r="42" ht="15" customHeight="1" x14ac:dyDescent="0.25"/>
    <row r="43" ht="15" customHeight="1" x14ac:dyDescent="0.25"/>
    <row r="44" ht="15" customHeight="1" x14ac:dyDescent="0.25"/>
    <row r="45" ht="15" customHeight="1" x14ac:dyDescent="0.25"/>
    <row r="46" ht="15" customHeight="1" x14ac:dyDescent="0.25"/>
    <row r="47" ht="15" customHeight="1" x14ac:dyDescent="0.25"/>
    <row r="48" ht="15" customHeight="1" x14ac:dyDescent="0.25"/>
    <row r="49" ht="15" customHeight="1" x14ac:dyDescent="0.25"/>
    <row r="50" ht="15" customHeight="1" x14ac:dyDescent="0.25"/>
    <row r="51" ht="15" customHeight="1" x14ac:dyDescent="0.25"/>
    <row r="52" ht="15" customHeight="1" x14ac:dyDescent="0.25"/>
    <row r="53" ht="15" customHeight="1" x14ac:dyDescent="0.25"/>
    <row r="54" ht="15" customHeight="1" x14ac:dyDescent="0.25"/>
    <row r="55" ht="15" customHeight="1" x14ac:dyDescent="0.25"/>
    <row r="56" ht="15" customHeight="1" x14ac:dyDescent="0.25"/>
    <row r="57" ht="15" customHeight="1" x14ac:dyDescent="0.25"/>
    <row r="58" ht="15" customHeight="1" x14ac:dyDescent="0.25"/>
    <row r="59" ht="15" customHeight="1" x14ac:dyDescent="0.25"/>
    <row r="60" ht="15" customHeight="1" x14ac:dyDescent="0.25"/>
    <row r="61" ht="15" customHeight="1" x14ac:dyDescent="0.25"/>
    <row r="62" ht="15" customHeight="1" x14ac:dyDescent="0.25"/>
    <row r="63" ht="15" customHeight="1" x14ac:dyDescent="0.25"/>
    <row r="6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78" ht="15" customHeight="1" x14ac:dyDescent="0.25"/>
    <row r="79" ht="15" customHeight="1" x14ac:dyDescent="0.25"/>
    <row r="80" ht="15" customHeight="1" x14ac:dyDescent="0.25"/>
    <row r="81" ht="15" customHeight="1" x14ac:dyDescent="0.25"/>
  </sheetData>
  <mergeCells count="4">
    <mergeCell ref="B1:H1"/>
    <mergeCell ref="B4:G4"/>
    <mergeCell ref="B10:G10"/>
    <mergeCell ref="B18:G18"/>
  </mergeCells>
  <pageMargins left="0.75" right="0.75" top="1" bottom="1" header="0.511811023622047" footer="0.511811023622047"/>
  <pageSetup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Cover</vt:lpstr>
      <vt:lpstr>Assumptions</vt:lpstr>
      <vt:lpstr>WACC</vt:lpstr>
      <vt:lpstr>DCF Valuation</vt:lpstr>
      <vt:lpstr>Sensitivity</vt:lpstr>
      <vt:lpstr>Support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Harsh Pandey</cp:lastModifiedBy>
  <cp:revision>0</cp:revision>
  <dcterms:created xsi:type="dcterms:W3CDTF">2026-05-29T06:03:52Z</dcterms:created>
  <dcterms:modified xsi:type="dcterms:W3CDTF">2026-06-01T06:04:46Z</dcterms:modified>
  <dc:language>en-US</dc:language>
</cp:coreProperties>
</file>
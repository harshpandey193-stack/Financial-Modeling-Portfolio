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kahp\OneDrive\Desktop\Models\GITHUB MODELS\"/>
    </mc:Choice>
  </mc:AlternateContent>
  <xr:revisionPtr revIDLastSave="0" documentId="13_ncr:1_{555D8C4A-E918-4E56-83CA-2B1CD661142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Dashboard" sheetId="1" r:id="rId1"/>
    <sheet name="Assumptions" sheetId="2" r:id="rId2"/>
    <sheet name="Income Statement" sheetId="3" r:id="rId3"/>
    <sheet name="Debt Schedule" sheetId="4" r:id="rId4"/>
    <sheet name="Cash Flow Statement" sheetId="5" r:id="rId5"/>
    <sheet name="Balance Sheet" sheetId="6" r:id="rId6"/>
    <sheet name="Returns Analysis" sheetId="7" r:id="rId7"/>
    <sheet name="Sources &amp; Uses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7" l="1"/>
  <c r="C14" i="6"/>
  <c r="H14" i="2"/>
  <c r="G14" i="2"/>
  <c r="F14" i="2"/>
  <c r="E14" i="2"/>
  <c r="D14" i="2"/>
  <c r="H12" i="2"/>
  <c r="G12" i="2"/>
  <c r="F12" i="2"/>
  <c r="E12" i="2"/>
  <c r="D12" i="2"/>
  <c r="F9" i="8"/>
  <c r="C8" i="8"/>
  <c r="F7" i="8"/>
  <c r="C7" i="8"/>
  <c r="F6" i="8"/>
  <c r="C6" i="8"/>
  <c r="C5" i="8"/>
  <c r="C10" i="7"/>
  <c r="C8" i="5"/>
  <c r="H31" i="4"/>
  <c r="G31" i="4"/>
  <c r="F31" i="4"/>
  <c r="E31" i="4"/>
  <c r="D31" i="4"/>
  <c r="C31" i="4"/>
  <c r="H24" i="4"/>
  <c r="G24" i="4"/>
  <c r="F24" i="4"/>
  <c r="E24" i="4"/>
  <c r="D24" i="4"/>
  <c r="C24" i="4"/>
  <c r="C17" i="4"/>
  <c r="C11" i="4"/>
  <c r="C6" i="4"/>
  <c r="H28" i="3"/>
  <c r="G28" i="3"/>
  <c r="F28" i="3"/>
  <c r="E28" i="3"/>
  <c r="D28" i="3"/>
  <c r="C28" i="3"/>
  <c r="C6" i="3"/>
  <c r="C55" i="2"/>
  <c r="C49" i="2"/>
  <c r="C38" i="2"/>
  <c r="C12" i="2"/>
  <c r="H28" i="1"/>
  <c r="G28" i="1"/>
  <c r="F28" i="1"/>
  <c r="E28" i="1"/>
  <c r="D28" i="1"/>
  <c r="C28" i="1"/>
  <c r="C11" i="1"/>
  <c r="C10" i="1" l="1"/>
  <c r="C5" i="1"/>
  <c r="C6" i="7"/>
  <c r="C29" i="6"/>
  <c r="C23" i="6"/>
  <c r="C9" i="6"/>
  <c r="H25" i="4"/>
  <c r="G25" i="4"/>
  <c r="F25" i="4"/>
  <c r="E25" i="4"/>
  <c r="C25" i="4"/>
  <c r="C15" i="3"/>
  <c r="C14" i="2"/>
  <c r="C12" i="4"/>
  <c r="C7" i="4"/>
  <c r="C23" i="3"/>
  <c r="C7" i="5" s="1"/>
  <c r="C21" i="3"/>
  <c r="C17" i="3"/>
  <c r="C16" i="3"/>
  <c r="C10" i="3"/>
  <c r="C22" i="6" s="1"/>
  <c r="D6" i="3"/>
  <c r="C15" i="6"/>
  <c r="C17" i="6" s="1"/>
  <c r="C8" i="6"/>
  <c r="C7" i="6"/>
  <c r="C6" i="6"/>
  <c r="C10" i="6" s="1"/>
  <c r="C19" i="6" s="1"/>
  <c r="C12" i="5"/>
  <c r="C28" i="4"/>
  <c r="C28" i="6" s="1"/>
  <c r="D25" i="4"/>
  <c r="C18" i="4"/>
  <c r="C17" i="5" s="1"/>
  <c r="C56" i="2" l="1"/>
  <c r="C7" i="7"/>
  <c r="F5" i="8"/>
  <c r="F11" i="8" s="1"/>
  <c r="B12" i="8" s="1"/>
  <c r="C24" i="6"/>
  <c r="C25" i="6" s="1"/>
  <c r="C16" i="5"/>
  <c r="C25" i="1"/>
  <c r="D6" i="4"/>
  <c r="C24" i="3"/>
  <c r="C14" i="1"/>
  <c r="C23" i="5"/>
  <c r="D10" i="3"/>
  <c r="D22" i="6" s="1"/>
  <c r="D15" i="3"/>
  <c r="D16" i="3"/>
  <c r="D10" i="1"/>
  <c r="E6" i="3"/>
  <c r="D17" i="3"/>
  <c r="D21" i="3"/>
  <c r="D22" i="3"/>
  <c r="D15" i="1" s="1"/>
  <c r="D23" i="3"/>
  <c r="D7" i="5" s="1"/>
  <c r="D8" i="5"/>
  <c r="D12" i="5"/>
  <c r="D9" i="6"/>
  <c r="D29" i="6"/>
  <c r="D7" i="6"/>
  <c r="D8" i="6"/>
  <c r="D23" i="6"/>
  <c r="C18" i="1"/>
  <c r="C13" i="5"/>
  <c r="C18" i="3"/>
  <c r="C11" i="3"/>
  <c r="C13" i="4"/>
  <c r="D7" i="3"/>
  <c r="D11" i="1" s="1"/>
  <c r="D14" i="6"/>
  <c r="C30" i="6"/>
  <c r="C8" i="4"/>
  <c r="C22" i="3"/>
  <c r="C15" i="1" s="1"/>
  <c r="D18" i="3" l="1"/>
  <c r="E7" i="3"/>
  <c r="E11" i="1" s="1"/>
  <c r="C32" i="6"/>
  <c r="C35" i="6"/>
  <c r="D35" i="6"/>
  <c r="E35" i="6"/>
  <c r="F35" i="6"/>
  <c r="G35" i="6"/>
  <c r="H35" i="6"/>
  <c r="C8" i="7"/>
  <c r="C9" i="8"/>
  <c r="C11" i="8" s="1"/>
  <c r="D5" i="1"/>
  <c r="D7" i="4"/>
  <c r="D8" i="4"/>
  <c r="C25" i="3"/>
  <c r="C29" i="3"/>
  <c r="C16" i="1"/>
  <c r="E10" i="3"/>
  <c r="E22" i="6" s="1"/>
  <c r="E23" i="3"/>
  <c r="E7" i="5" s="1"/>
  <c r="E17" i="3"/>
  <c r="E8" i="6"/>
  <c r="E23" i="6"/>
  <c r="E29" i="6"/>
  <c r="E10" i="1"/>
  <c r="E8" i="5"/>
  <c r="E12" i="5"/>
  <c r="E7" i="6"/>
  <c r="E9" i="6"/>
  <c r="F6" i="3"/>
  <c r="E15" i="3"/>
  <c r="E16" i="3"/>
  <c r="E21" i="3"/>
  <c r="E22" i="3"/>
  <c r="E15" i="1" s="1"/>
  <c r="D24" i="3"/>
  <c r="D23" i="5"/>
  <c r="D14" i="1"/>
  <c r="D13" i="6"/>
  <c r="D13" i="5"/>
  <c r="D18" i="1"/>
  <c r="C12" i="3"/>
  <c r="C13" i="1" s="1"/>
  <c r="C12" i="1"/>
  <c r="D11" i="4"/>
  <c r="C26" i="1"/>
  <c r="C14" i="4"/>
  <c r="D11" i="3"/>
  <c r="E14" i="6"/>
  <c r="F14" i="6" s="1"/>
  <c r="E11" i="3" l="1"/>
  <c r="D25" i="1"/>
  <c r="E6" i="4"/>
  <c r="C30" i="3"/>
  <c r="C31" i="3"/>
  <c r="E13" i="5"/>
  <c r="E18" i="1"/>
  <c r="F10" i="1"/>
  <c r="F16" i="3"/>
  <c r="F17" i="3"/>
  <c r="F21" i="3"/>
  <c r="F23" i="3"/>
  <c r="F10" i="3"/>
  <c r="F22" i="6" s="1"/>
  <c r="F11" i="3"/>
  <c r="F12" i="1" s="1"/>
  <c r="F12" i="3"/>
  <c r="F13" i="1" s="1"/>
  <c r="F8" i="5"/>
  <c r="F12" i="5"/>
  <c r="F9" i="6"/>
  <c r="F29" i="6"/>
  <c r="G6" i="3"/>
  <c r="F15" i="3"/>
  <c r="F7" i="6"/>
  <c r="F8" i="6"/>
  <c r="F23" i="6"/>
  <c r="E24" i="3"/>
  <c r="E14" i="1"/>
  <c r="E23" i="5"/>
  <c r="D25" i="3"/>
  <c r="D29" i="3"/>
  <c r="D16" i="1"/>
  <c r="D15" i="6"/>
  <c r="D17" i="6" s="1"/>
  <c r="E13" i="6"/>
  <c r="D12" i="4"/>
  <c r="D12" i="3"/>
  <c r="D13" i="1" s="1"/>
  <c r="D12" i="1"/>
  <c r="F7" i="3"/>
  <c r="F11" i="1" s="1"/>
  <c r="E18" i="3"/>
  <c r="D13" i="4" l="1"/>
  <c r="D14" i="4" s="1"/>
  <c r="F22" i="3"/>
  <c r="F15" i="1" s="1"/>
  <c r="G7" i="3"/>
  <c r="G11" i="1" s="1"/>
  <c r="E12" i="3"/>
  <c r="E13" i="1" s="1"/>
  <c r="E12" i="1"/>
  <c r="E7" i="4"/>
  <c r="E8" i="4"/>
  <c r="C32" i="3"/>
  <c r="C6" i="5"/>
  <c r="C9" i="5" s="1"/>
  <c r="C22" i="5" s="1"/>
  <c r="C36" i="6"/>
  <c r="C17" i="1"/>
  <c r="F24" i="3"/>
  <c r="F23" i="5"/>
  <c r="F14" i="1"/>
  <c r="G14" i="6"/>
  <c r="F7" i="5"/>
  <c r="F13" i="5"/>
  <c r="F18" i="1"/>
  <c r="G10" i="3"/>
  <c r="G22" i="6" s="1"/>
  <c r="G17" i="3"/>
  <c r="G7" i="6"/>
  <c r="G16" i="3"/>
  <c r="G21" i="3"/>
  <c r="G23" i="3"/>
  <c r="G7" i="5" s="1"/>
  <c r="H6" i="3"/>
  <c r="G15" i="3"/>
  <c r="G8" i="5"/>
  <c r="G12" i="5"/>
  <c r="G8" i="6"/>
  <c r="G9" i="6"/>
  <c r="G23" i="6"/>
  <c r="G29" i="6"/>
  <c r="G10" i="1"/>
  <c r="E25" i="3"/>
  <c r="E29" i="3"/>
  <c r="E16" i="1"/>
  <c r="D30" i="3"/>
  <c r="F13" i="6"/>
  <c r="E15" i="6"/>
  <c r="E17" i="6" s="1"/>
  <c r="D16" i="5"/>
  <c r="D24" i="6"/>
  <c r="D25" i="6" s="1"/>
  <c r="D26" i="1"/>
  <c r="E11" i="4"/>
  <c r="F18" i="3"/>
  <c r="H14" i="6" l="1"/>
  <c r="D31" i="3"/>
  <c r="G11" i="3"/>
  <c r="E25" i="1"/>
  <c r="F6" i="4"/>
  <c r="C27" i="5"/>
  <c r="D26" i="5" s="1"/>
  <c r="C19" i="1"/>
  <c r="C19" i="4"/>
  <c r="C37" i="6"/>
  <c r="C39" i="6" s="1"/>
  <c r="C40" i="6" s="1"/>
  <c r="D36" i="6"/>
  <c r="F25" i="3"/>
  <c r="F29" i="3"/>
  <c r="F16" i="1"/>
  <c r="G24" i="3"/>
  <c r="G14" i="1"/>
  <c r="G23" i="5"/>
  <c r="H29" i="6"/>
  <c r="H8" i="5"/>
  <c r="H12" i="5"/>
  <c r="H7" i="6"/>
  <c r="H8" i="6"/>
  <c r="H9" i="6"/>
  <c r="H23" i="6"/>
  <c r="H10" i="3"/>
  <c r="H22" i="6" s="1"/>
  <c r="H15" i="3"/>
  <c r="H17" i="3"/>
  <c r="H10" i="1"/>
  <c r="H16" i="3"/>
  <c r="H21" i="3"/>
  <c r="H22" i="3"/>
  <c r="H15" i="1" s="1"/>
  <c r="H23" i="3"/>
  <c r="H7" i="5" s="1"/>
  <c r="G13" i="5"/>
  <c r="G18" i="1"/>
  <c r="E30" i="3"/>
  <c r="D32" i="3"/>
  <c r="G13" i="6"/>
  <c r="F15" i="6"/>
  <c r="F17" i="6" s="1"/>
  <c r="E12" i="4"/>
  <c r="E13" i="4"/>
  <c r="E14" i="4"/>
  <c r="G22" i="3"/>
  <c r="G15" i="1" s="1"/>
  <c r="H7" i="3"/>
  <c r="H11" i="1" s="1"/>
  <c r="G18" i="3"/>
  <c r="E31" i="3" l="1"/>
  <c r="H11" i="3"/>
  <c r="H12" i="1" s="1"/>
  <c r="H18" i="3"/>
  <c r="G12" i="3"/>
  <c r="G13" i="1" s="1"/>
  <c r="G12" i="1"/>
  <c r="D6" i="5"/>
  <c r="D9" i="5" s="1"/>
  <c r="D22" i="5" s="1"/>
  <c r="D17" i="1"/>
  <c r="F7" i="4"/>
  <c r="D6" i="6"/>
  <c r="D10" i="6" s="1"/>
  <c r="D19" i="6" s="1"/>
  <c r="C20" i="4"/>
  <c r="C18" i="5"/>
  <c r="C19" i="5" s="1"/>
  <c r="D37" i="6"/>
  <c r="E36" i="6"/>
  <c r="F30" i="3"/>
  <c r="G25" i="3"/>
  <c r="G29" i="3"/>
  <c r="G16" i="1"/>
  <c r="H13" i="5"/>
  <c r="H18" i="1"/>
  <c r="C21" i="7"/>
  <c r="H24" i="3"/>
  <c r="H23" i="5"/>
  <c r="C9" i="7"/>
  <c r="C11" i="7" s="1"/>
  <c r="C22" i="7"/>
  <c r="C23" i="7"/>
  <c r="H14" i="1"/>
  <c r="E32" i="3"/>
  <c r="E17" i="1"/>
  <c r="E6" i="5"/>
  <c r="E9" i="5" s="1"/>
  <c r="E22" i="5" s="1"/>
  <c r="H13" i="6"/>
  <c r="H15" i="6" s="1"/>
  <c r="H17" i="6" s="1"/>
  <c r="G15" i="6"/>
  <c r="G17" i="6" s="1"/>
  <c r="E16" i="5"/>
  <c r="E24" i="6"/>
  <c r="E25" i="6" s="1"/>
  <c r="E26" i="1"/>
  <c r="F11" i="4"/>
  <c r="F8" i="4" l="1"/>
  <c r="D27" i="5"/>
  <c r="E26" i="5" s="1"/>
  <c r="H12" i="3"/>
  <c r="H13" i="1" s="1"/>
  <c r="D19" i="1"/>
  <c r="F31" i="3"/>
  <c r="F25" i="1"/>
  <c r="G6" i="4"/>
  <c r="E27" i="5"/>
  <c r="F26" i="5" s="1"/>
  <c r="E6" i="6"/>
  <c r="E10" i="6" s="1"/>
  <c r="E19" i="6" s="1"/>
  <c r="C27" i="1"/>
  <c r="D17" i="4"/>
  <c r="C21" i="4"/>
  <c r="C29" i="4"/>
  <c r="E37" i="6"/>
  <c r="G30" i="3"/>
  <c r="H25" i="3"/>
  <c r="H29" i="3"/>
  <c r="H16" i="1"/>
  <c r="E5" i="1"/>
  <c r="E19" i="1"/>
  <c r="F12" i="4"/>
  <c r="F36" i="6" l="1"/>
  <c r="F32" i="3"/>
  <c r="F17" i="1"/>
  <c r="F6" i="5"/>
  <c r="F9" i="5" s="1"/>
  <c r="F22" i="5" s="1"/>
  <c r="G31" i="3"/>
  <c r="G7" i="4"/>
  <c r="G8" i="4"/>
  <c r="F6" i="6"/>
  <c r="F10" i="6" s="1"/>
  <c r="F19" i="6" s="1"/>
  <c r="D28" i="4"/>
  <c r="D28" i="6" s="1"/>
  <c r="D30" i="6" s="1"/>
  <c r="D32" i="6" s="1"/>
  <c r="D39" i="6" s="1"/>
  <c r="D40" i="6" s="1"/>
  <c r="D18" i="4"/>
  <c r="C29" i="1"/>
  <c r="C20" i="1"/>
  <c r="C30" i="4"/>
  <c r="C21" i="1" s="1"/>
  <c r="H30" i="3"/>
  <c r="H31" i="3"/>
  <c r="F16" i="5"/>
  <c r="F24" i="6"/>
  <c r="F25" i="6" s="1"/>
  <c r="F13" i="4"/>
  <c r="F27" i="5" l="1"/>
  <c r="G26" i="5" s="1"/>
  <c r="F37" i="6"/>
  <c r="F19" i="1"/>
  <c r="G32" i="3"/>
  <c r="G6" i="5"/>
  <c r="G9" i="5" s="1"/>
  <c r="G22" i="5" s="1"/>
  <c r="G36" i="6"/>
  <c r="G17" i="1"/>
  <c r="G25" i="1"/>
  <c r="H6" i="4"/>
  <c r="G6" i="6"/>
  <c r="G10" i="6" s="1"/>
  <c r="G19" i="6" s="1"/>
  <c r="D19" i="4"/>
  <c r="D18" i="5" s="1"/>
  <c r="D17" i="5"/>
  <c r="H32" i="3"/>
  <c r="H6" i="5"/>
  <c r="H9" i="5" s="1"/>
  <c r="H22" i="5" s="1"/>
  <c r="H17" i="1"/>
  <c r="G11" i="4"/>
  <c r="F26" i="1"/>
  <c r="F14" i="4"/>
  <c r="G27" i="5" l="1"/>
  <c r="H26" i="5" s="1"/>
  <c r="G19" i="1"/>
  <c r="G37" i="6"/>
  <c r="H36" i="6"/>
  <c r="H37" i="6" s="1"/>
  <c r="H7" i="4"/>
  <c r="H8" i="4"/>
  <c r="H19" i="1"/>
  <c r="G12" i="4"/>
  <c r="D19" i="5"/>
  <c r="D20" i="4"/>
  <c r="G13" i="4" l="1"/>
  <c r="G14" i="4" s="1"/>
  <c r="H27" i="5"/>
  <c r="H6" i="6"/>
  <c r="H10" i="6" s="1"/>
  <c r="H19" i="6" s="1"/>
  <c r="H25" i="1"/>
  <c r="G24" i="6"/>
  <c r="G25" i="6" s="1"/>
  <c r="G16" i="5"/>
  <c r="G26" i="1"/>
  <c r="H11" i="4"/>
  <c r="D21" i="4"/>
  <c r="D29" i="4"/>
  <c r="D27" i="1"/>
  <c r="E17" i="4"/>
  <c r="H12" i="4" l="1"/>
  <c r="D20" i="1"/>
  <c r="D29" i="1"/>
  <c r="D30" i="4"/>
  <c r="D21" i="1" s="1"/>
  <c r="E28" i="4"/>
  <c r="E28" i="6" s="1"/>
  <c r="E30" i="6" s="1"/>
  <c r="E32" i="6" s="1"/>
  <c r="E39" i="6" s="1"/>
  <c r="E40" i="6" s="1"/>
  <c r="E18" i="4"/>
  <c r="H16" i="5" l="1"/>
  <c r="H24" i="6"/>
  <c r="H25" i="6" s="1"/>
  <c r="E19" i="4"/>
  <c r="E18" i="5" s="1"/>
  <c r="E17" i="5"/>
  <c r="H13" i="4"/>
  <c r="H26" i="1" l="1"/>
  <c r="H14" i="4"/>
  <c r="E19" i="5"/>
  <c r="E20" i="4"/>
  <c r="E29" i="4" l="1"/>
  <c r="F17" i="4"/>
  <c r="E27" i="1"/>
  <c r="E21" i="4"/>
  <c r="E30" i="4" l="1"/>
  <c r="E21" i="1" s="1"/>
  <c r="E29" i="1"/>
  <c r="E20" i="1"/>
  <c r="F28" i="4"/>
  <c r="F28" i="6" s="1"/>
  <c r="F30" i="6" s="1"/>
  <c r="F32" i="6" s="1"/>
  <c r="F39" i="6" s="1"/>
  <c r="F40" i="6" s="1"/>
  <c r="F18" i="4"/>
  <c r="F19" i="4" l="1"/>
  <c r="F17" i="5"/>
  <c r="F20" i="4" l="1"/>
  <c r="F18" i="5"/>
  <c r="F19" i="5" s="1"/>
  <c r="G17" i="4" l="1"/>
  <c r="F27" i="1"/>
  <c r="F29" i="4"/>
  <c r="F21" i="4"/>
  <c r="G28" i="4" l="1"/>
  <c r="G28" i="6" s="1"/>
  <c r="G30" i="6" s="1"/>
  <c r="G32" i="6" s="1"/>
  <c r="G39" i="6" s="1"/>
  <c r="G40" i="6" s="1"/>
  <c r="G18" i="4"/>
  <c r="F30" i="4"/>
  <c r="F21" i="1" s="1"/>
  <c r="F20" i="1"/>
  <c r="F29" i="1"/>
  <c r="G19" i="4" l="1"/>
  <c r="G18" i="5" s="1"/>
  <c r="G17" i="5"/>
  <c r="G19" i="5" l="1"/>
  <c r="G20" i="4"/>
  <c r="G29" i="4" l="1"/>
  <c r="G27" i="1"/>
  <c r="H17" i="4"/>
  <c r="G21" i="4"/>
  <c r="G30" i="4" l="1"/>
  <c r="G21" i="1" s="1"/>
  <c r="G20" i="1"/>
  <c r="G29" i="1"/>
  <c r="H28" i="4"/>
  <c r="H28" i="6" s="1"/>
  <c r="H30" i="6" s="1"/>
  <c r="H32" i="6" s="1"/>
  <c r="H39" i="6" s="1"/>
  <c r="H40" i="6" s="1"/>
  <c r="H18" i="4"/>
  <c r="H19" i="4" l="1"/>
  <c r="H18" i="5" s="1"/>
  <c r="H17" i="5"/>
  <c r="H19" i="5" l="1"/>
  <c r="H20" i="4"/>
  <c r="H29" i="4" l="1"/>
  <c r="H27" i="1"/>
  <c r="H21" i="4"/>
  <c r="H30" i="4" l="1"/>
  <c r="H21" i="1" s="1"/>
  <c r="G43" i="7"/>
  <c r="F43" i="7"/>
  <c r="E43" i="7"/>
  <c r="D43" i="7"/>
  <c r="C43" i="7"/>
  <c r="G42" i="7"/>
  <c r="F42" i="7"/>
  <c r="E42" i="7"/>
  <c r="D42" i="7"/>
  <c r="C42" i="7"/>
  <c r="G41" i="7"/>
  <c r="F41" i="7"/>
  <c r="E41" i="7"/>
  <c r="D41" i="7"/>
  <c r="C41" i="7"/>
  <c r="G40" i="7"/>
  <c r="F40" i="7"/>
  <c r="E40" i="7"/>
  <c r="D40" i="7"/>
  <c r="C40" i="7"/>
  <c r="G39" i="7"/>
  <c r="F39" i="7"/>
  <c r="E39" i="7"/>
  <c r="D39" i="7"/>
  <c r="C39" i="7"/>
  <c r="G38" i="7"/>
  <c r="F38" i="7"/>
  <c r="E38" i="7"/>
  <c r="D38" i="7"/>
  <c r="C38" i="7"/>
  <c r="F34" i="7"/>
  <c r="E34" i="7"/>
  <c r="C34" i="7"/>
  <c r="F33" i="7"/>
  <c r="D33" i="7"/>
  <c r="G32" i="7"/>
  <c r="E32" i="7"/>
  <c r="C32" i="7"/>
  <c r="G31" i="7"/>
  <c r="E31" i="7"/>
  <c r="D31" i="7"/>
  <c r="C31" i="7"/>
  <c r="G30" i="7"/>
  <c r="F30" i="7"/>
  <c r="E30" i="7"/>
  <c r="D30" i="7"/>
  <c r="C30" i="7"/>
  <c r="G29" i="7"/>
  <c r="G34" i="7"/>
  <c r="D34" i="7"/>
  <c r="G33" i="7"/>
  <c r="E33" i="7"/>
  <c r="C33" i="7"/>
  <c r="F32" i="7"/>
  <c r="D32" i="7"/>
  <c r="F31" i="7"/>
  <c r="F29" i="7"/>
  <c r="E29" i="7"/>
  <c r="D29" i="7"/>
  <c r="C29" i="7"/>
  <c r="H20" i="1"/>
  <c r="C12" i="7"/>
  <c r="C13" i="7" s="1"/>
  <c r="C24" i="7"/>
  <c r="H29" i="1"/>
  <c r="C14" i="7" l="1"/>
  <c r="C15" i="7" l="1"/>
  <c r="C18" i="7" l="1"/>
  <c r="G5" i="1" s="1"/>
  <c r="C20" i="7"/>
  <c r="C19" i="7"/>
  <c r="F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Kuldeep Pandey</author>
  </authors>
  <commentList>
    <comment ref="B50" authorId="0" shapeId="0" xr:uid="{7EF9A4C3-2450-4030-BC2D-A90B6B1DA1A4}">
      <text>
        <r>
          <rPr>
            <b/>
            <sz val="9"/>
            <color indexed="81"/>
            <rFont val="Tahoma"/>
            <family val="2"/>
          </rPr>
          <t>Put YES or NO</t>
        </r>
      </text>
    </comment>
  </commentList>
</comments>
</file>

<file path=xl/sharedStrings.xml><?xml version="1.0" encoding="utf-8"?>
<sst xmlns="http://schemas.openxmlformats.org/spreadsheetml/2006/main" count="272" uniqueCount="210">
  <si>
    <t>Entry EV ($mm)</t>
  </si>
  <si>
    <t>Equity Invested</t>
  </si>
  <si>
    <t>Exit EV ($mm)</t>
  </si>
  <si>
    <t>Gross IRR</t>
  </si>
  <si>
    <t>MOIC</t>
  </si>
  <si>
    <t>Entry Transaction</t>
  </si>
  <si>
    <t>Sponsor Equity</t>
  </si>
  <si>
    <t>Exit at Year 5</t>
  </si>
  <si>
    <t>5-Year Hold</t>
  </si>
  <si>
    <t>Money-on-Money</t>
  </si>
  <si>
    <t xml:space="preserve">  P&amp;L SUMMARY</t>
  </si>
  <si>
    <t>Metric</t>
  </si>
  <si>
    <t>FY2024A</t>
  </si>
  <si>
    <t>FY2025E</t>
  </si>
  <si>
    <t>FY2026E</t>
  </si>
  <si>
    <t>FY2027E</t>
  </si>
  <si>
    <t>FY2028E</t>
  </si>
  <si>
    <t>FY2029E</t>
  </si>
  <si>
    <t>Revenue ($mm)</t>
  </si>
  <si>
    <t xml:space="preserve">  YoY Growth</t>
  </si>
  <si>
    <t>Gross Profit</t>
  </si>
  <si>
    <t xml:space="preserve">  Gross Margin</t>
  </si>
  <si>
    <t>EBITDA</t>
  </si>
  <si>
    <t xml:space="preserve">  EBITDA Margin</t>
  </si>
  <si>
    <t>EBIT</t>
  </si>
  <si>
    <t>Net Income</t>
  </si>
  <si>
    <t>CapEx</t>
  </si>
  <si>
    <t>FCF (Levered)</t>
  </si>
  <si>
    <t>Total Debt</t>
  </si>
  <si>
    <t>Net Leverage</t>
  </si>
  <si>
    <t xml:space="preserve">  DEBT PAYDOWN SUMMARY</t>
  </si>
  <si>
    <t>Tranche</t>
  </si>
  <si>
    <t>At Entry</t>
  </si>
  <si>
    <t>FY2029E (Exit)</t>
  </si>
  <si>
    <t>Revolving Credit Facility</t>
  </si>
  <si>
    <t>Term Loan A</t>
  </si>
  <si>
    <t>Term Loan B</t>
  </si>
  <si>
    <t>Senior Secured Notes</t>
  </si>
  <si>
    <t>LEVERAGED BUYOUT MODEL  ·  ASSUMPTIONS &amp; TRANSACTION PARAMETERS</t>
  </si>
  <si>
    <t>Label</t>
  </si>
  <si>
    <t xml:space="preserve">  TRANSACTION ASSUMPTIONS</t>
  </si>
  <si>
    <t>Entry Year</t>
  </si>
  <si>
    <t>Hold Period (Years)</t>
  </si>
  <si>
    <t>Exit Year</t>
  </si>
  <si>
    <t>Entry EV / LTM EBITDA (x)</t>
  </si>
  <si>
    <t>Exit EV / LTM EBITDA (x)</t>
  </si>
  <si>
    <t>LTM EBITDA at Entry ($mm)</t>
  </si>
  <si>
    <t>Entry Enterprise Value ($mm)</t>
  </si>
  <si>
    <t>Net Debt at Entry ($mm)</t>
  </si>
  <si>
    <t>Equity Purchase Price ($mm)</t>
  </si>
  <si>
    <t xml:space="preserve">  REVENUE ASSUMPTIONS</t>
  </si>
  <si>
    <t>Revenue – Base Year ($mm)</t>
  </si>
  <si>
    <t>Revenue Growth – Y1</t>
  </si>
  <si>
    <t>Revenue Growth – Y2</t>
  </si>
  <si>
    <t>Revenue Growth – Y3</t>
  </si>
  <si>
    <t>Revenue Growth – Y4</t>
  </si>
  <si>
    <t>Revenue Growth – Y5</t>
  </si>
  <si>
    <t xml:space="preserve">  MARGIN ASSUMPTIONS</t>
  </si>
  <si>
    <t>Gross Margin %</t>
  </si>
  <si>
    <t>EBITDA Margin %</t>
  </si>
  <si>
    <t>D&amp;A as % of Revenue</t>
  </si>
  <si>
    <t>CapEx as % of Revenue</t>
  </si>
  <si>
    <t>Change in NWC as % of ΔRevenue</t>
  </si>
  <si>
    <t>Tax Rate %</t>
  </si>
  <si>
    <t xml:space="preserve">  DEBT STRUCTURE AT ENTRY ($mm)</t>
  </si>
  <si>
    <t>Term Loan A (TLA)</t>
  </si>
  <si>
    <t>Term Loan B (TLB)</t>
  </si>
  <si>
    <t>Subordinated / Mezzanine Debt</t>
  </si>
  <si>
    <t xml:space="preserve">  INTEREST RATES (Annual)</t>
  </si>
  <si>
    <t>Revolving Credit Facility Rate</t>
  </si>
  <si>
    <t>Term Loan A Rate</t>
  </si>
  <si>
    <t>Term Loan B Rate</t>
  </si>
  <si>
    <t>Senior Secured Notes Rate</t>
  </si>
  <si>
    <t>Subordinated / Mezzanine Rate</t>
  </si>
  <si>
    <t xml:space="preserve">  MANDATORY DEBT AMORTIZATION (Annual, $mm)</t>
  </si>
  <si>
    <t>TLA Annual Amortization</t>
  </si>
  <si>
    <t>TLB Annual Amortization (1%)</t>
  </si>
  <si>
    <t>Revolver – Cash Sweep Eligible?</t>
  </si>
  <si>
    <t xml:space="preserve">  FEES &amp; FINANCING COSTS</t>
  </si>
  <si>
    <t>Transaction Fees ($mm)</t>
  </si>
  <si>
    <t>Financing Fees ($mm)</t>
  </si>
  <si>
    <t>Total Fees ($mm)</t>
  </si>
  <si>
    <t>Equity Contribution ($mm)</t>
  </si>
  <si>
    <t>Management Promote %</t>
  </si>
  <si>
    <t>INCOME STATEMENT  ·  ($mm)</t>
  </si>
  <si>
    <t xml:space="preserve">  REVENUE</t>
  </si>
  <si>
    <t>Revenue</t>
  </si>
  <si>
    <t xml:space="preserve">  YoY Growth %</t>
  </si>
  <si>
    <t>"-"</t>
  </si>
  <si>
    <t xml:space="preserve">  COST OF GOODS SOLD</t>
  </si>
  <si>
    <t>Cost of Goods Sold</t>
  </si>
  <si>
    <t xml:space="preserve">  Gross Margin %</t>
  </si>
  <si>
    <t xml:space="preserve">  OPERATING EXPENSES</t>
  </si>
  <si>
    <t>Sales &amp; Marketing</t>
  </si>
  <si>
    <t>General &amp; Administrative</t>
  </si>
  <si>
    <t>Research &amp; Development</t>
  </si>
  <si>
    <t>Total Operating Expenses</t>
  </si>
  <si>
    <t xml:space="preserve">  EBITDA</t>
  </si>
  <si>
    <t xml:space="preserve">  EBITDA Margin %</t>
  </si>
  <si>
    <t>Depreciation &amp; Amortization</t>
  </si>
  <si>
    <t>EBIT (Operating Income)</t>
  </si>
  <si>
    <t xml:space="preserve">  EBIT Margin %</t>
  </si>
  <si>
    <t xml:space="preserve">  BELOW THE LINE</t>
  </si>
  <si>
    <t>Interest Expense</t>
  </si>
  <si>
    <t>EBT (Pre-Tax Income)</t>
  </si>
  <si>
    <t>Income Tax Expense</t>
  </si>
  <si>
    <t xml:space="preserve">  Net Margin %</t>
  </si>
  <si>
    <t>DEBT SCHEDULE &amp; INTEREST  ·  ($mm)</t>
  </si>
  <si>
    <t xml:space="preserve">  REVOLVING CREDIT FACILITY</t>
  </si>
  <si>
    <t>Beginning Balance</t>
  </si>
  <si>
    <t>Ending Balance</t>
  </si>
  <si>
    <t xml:space="preserve">  TERM LOAN A (TLA)</t>
  </si>
  <si>
    <t>Mandatory Amortization</t>
  </si>
  <si>
    <t xml:space="preserve">  TERM LOAN B (TLB)</t>
  </si>
  <si>
    <t>Cash Sweep (Optional)</t>
  </si>
  <si>
    <t xml:space="preserve">  SENIOR SECURED NOTES</t>
  </si>
  <si>
    <t xml:space="preserve">  SUMMARY</t>
  </si>
  <si>
    <t>Total Debt – Beginning</t>
  </si>
  <si>
    <t>Total Debt – Ending</t>
  </si>
  <si>
    <t>Net Leverage (x) – Ending</t>
  </si>
  <si>
    <t>Interest Coverage (x) – EBITDA/Interest</t>
  </si>
  <si>
    <t>CASH FLOW STATEMENT  ·  ($mm)</t>
  </si>
  <si>
    <t xml:space="preserve">  OPERATING ACTIVITIES</t>
  </si>
  <si>
    <t>Add: D&amp;A</t>
  </si>
  <si>
    <t>Change in Net Working Capital</t>
  </si>
  <si>
    <t>Cash from Operations</t>
  </si>
  <si>
    <t xml:space="preserve">  INVESTING ACTIVITIES</t>
  </si>
  <si>
    <t>Capital Expenditures</t>
  </si>
  <si>
    <t>Cash from Investing</t>
  </si>
  <si>
    <t xml:space="preserve">  FINANCING ACTIVITIES</t>
  </si>
  <si>
    <t>TLA Repayment</t>
  </si>
  <si>
    <t>TLB Repayment</t>
  </si>
  <si>
    <t>TLB Cash Sweep</t>
  </si>
  <si>
    <t>Cash from Financing</t>
  </si>
  <si>
    <t xml:space="preserve">  FREE CASH FLOW</t>
  </si>
  <si>
    <t>Free Cash Flow (Levered)</t>
  </si>
  <si>
    <t>Unlevered Free Cash Flow (UFCF)</t>
  </si>
  <si>
    <t xml:space="preserve">  CASH BALANCE</t>
  </si>
  <si>
    <t>Beginning Cash</t>
  </si>
  <si>
    <t>Ending Cash</t>
  </si>
  <si>
    <t>BALANCE SHEET  ·  ($mm)</t>
  </si>
  <si>
    <t xml:space="preserve">  CURRENT ASSETS</t>
  </si>
  <si>
    <t>Cash &amp; Equivalents</t>
  </si>
  <si>
    <t>Accounts Receivable</t>
  </si>
  <si>
    <t>Inventory</t>
  </si>
  <si>
    <t>Other Current Assets</t>
  </si>
  <si>
    <t>Total Current Assets</t>
  </si>
  <si>
    <t xml:space="preserve">  NON-CURRENT ASSETS</t>
  </si>
  <si>
    <t>PP&amp;E – Gross</t>
  </si>
  <si>
    <t>Accumulated Depreciation</t>
  </si>
  <si>
    <t>PP&amp;E – Net</t>
  </si>
  <si>
    <t>Goodwill &amp; Intangibles</t>
  </si>
  <si>
    <t>Total Non-Current Assets</t>
  </si>
  <si>
    <t>TOTAL ASSETS</t>
  </si>
  <si>
    <t xml:space="preserve">  CURRENT LIABILITIES</t>
  </si>
  <si>
    <t>Accounts Payable</t>
  </si>
  <si>
    <t>Accrued Liabilities</t>
  </si>
  <si>
    <t>Current Portion of Debt</t>
  </si>
  <si>
    <t>Total Current Liabilities</t>
  </si>
  <si>
    <t xml:space="preserve">  NON-CURRENT LIABILITIES</t>
  </si>
  <si>
    <t>Long-Term Debt</t>
  </si>
  <si>
    <t>Other LT Liabilities</t>
  </si>
  <si>
    <t>Total Non-Current Liabilities</t>
  </si>
  <si>
    <t>TOTAL LIABILITIES</t>
  </si>
  <si>
    <t xml:space="preserve">  SHAREHOLDERS' EQUITY</t>
  </si>
  <si>
    <t>Contributed Equity</t>
  </si>
  <si>
    <t>Retained Earnings</t>
  </si>
  <si>
    <t>Total Equity</t>
  </si>
  <si>
    <t>TOTAL LIABILITIES + EQUITY</t>
  </si>
  <si>
    <t>Balance Check (must be 0)</t>
  </si>
  <si>
    <t>RETURNS ANALYSIS  ·  IRR  ·  MOIC  ·  SENSITIVITY</t>
  </si>
  <si>
    <t>Base Case</t>
  </si>
  <si>
    <t xml:space="preserve">  ENTRY &amp; EXIT PARAMETERS</t>
  </si>
  <si>
    <t>Entry Equity Value ($mm)</t>
  </si>
  <si>
    <t>Total Equity Invested ($mm)</t>
  </si>
  <si>
    <t>Exit Year EBITDA ($mm)</t>
  </si>
  <si>
    <t>Exit EV/EBITDA Multiple (x)</t>
  </si>
  <si>
    <t>Exit Enterprise Value ($mm)</t>
  </si>
  <si>
    <t>Exit Net Debt ($mm)</t>
  </si>
  <si>
    <t>Exit Equity Value ($mm)</t>
  </si>
  <si>
    <t>Management Promote (10%)</t>
  </si>
  <si>
    <t>Net Proceeds to Sponsor ($mm)</t>
  </si>
  <si>
    <t xml:space="preserve">  RETURN METRICS</t>
  </si>
  <si>
    <t>Money-on-Money (MOIC)</t>
  </si>
  <si>
    <t>Gross IRR (5-Year Hold)</t>
  </si>
  <si>
    <t>Cash Yield (Avg Annual)</t>
  </si>
  <si>
    <t>EBITDA Growth (Entry→Exit)</t>
  </si>
  <si>
    <t>Equity Bridge – EBITDA Growth</t>
  </si>
  <si>
    <t>Equity Bridge – Multiple Expansion</t>
  </si>
  <si>
    <t>Equity Bridge – Debt Paydown</t>
  </si>
  <si>
    <t>Equity Bridge – Total Value Created</t>
  </si>
  <si>
    <t xml:space="preserve">  SENSITIVITY TABLE – IRR vs EXIT MULTIPLE / ENTRY MULTIPLE</t>
  </si>
  <si>
    <t>IRR  ↓Exit / Entry→</t>
  </si>
  <si>
    <t xml:space="preserve">  SENSITIVITY TABLE – MOIC vs EXIT MULTIPLE / ENTRY MULTIPLE</t>
  </si>
  <si>
    <t>MOIC  ↓Exit / Entry→</t>
  </si>
  <si>
    <t>SOURCES &amp; USES OF FUNDS  ·  ($mm)</t>
  </si>
  <si>
    <t>SOURCES</t>
  </si>
  <si>
    <t>Amount ($mm</t>
  </si>
  <si>
    <t>USES</t>
  </si>
  <si>
    <t>Amount ($mm)</t>
  </si>
  <si>
    <t>Equity Purchase Price</t>
  </si>
  <si>
    <t>Transaction Fees</t>
  </si>
  <si>
    <t>Financing Fees</t>
  </si>
  <si>
    <t>Refinancing of Old Debt</t>
  </si>
  <si>
    <t>Sponsor Equity Contribution</t>
  </si>
  <si>
    <t>Excess Cash to B/S</t>
  </si>
  <si>
    <t>Total Sources</t>
  </si>
  <si>
    <t>Total Uses</t>
  </si>
  <si>
    <t xml:space="preserve"> LEVERAGED BUYOUT MODEL  ·  EXECUTIVE DASHBOARD</t>
  </si>
  <si>
    <t>=Assumptions!C6+Assumptions!C7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</si>
</sst>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;&quot;($&quot;#,##0.0\);\-"/>
    <numFmt numFmtId="165" formatCode="0.00%;\(0.00%\);\-"/>
    <numFmt numFmtId="166" formatCode="0.0\x"/>
    <numFmt numFmtId="167" formatCode="0.0%;\(0.0%\);\-"/>
    <numFmt numFmtId="168" formatCode="#,##0;\(#,##0\);\-"/>
    <numFmt numFmtId="169" formatCode="0.0%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6"/>
      <name val="Arial"/>
      <family val="2"/>
    </font>
    <font>
      <sz val="11"/>
      <name val="Calibri"/>
      <family val="2"/>
      <charset val="1"/>
    </font>
    <font>
      <i/>
      <sz val="9"/>
      <name val="Arial"/>
      <family val="2"/>
    </font>
    <font>
      <b/>
      <sz val="9"/>
      <name val="Arial"/>
      <family val="2"/>
    </font>
    <font>
      <sz val="11"/>
      <name val="Cambria"/>
      <family val="1"/>
    </font>
    <font>
      <i/>
      <sz val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indexed="81"/>
      <name val="Tahoma"/>
      <family val="2"/>
    </font>
  </fonts>
  <fills count="19">
    <fill>
      <patternFill patternType="none"/>
    </fill>
    <fill>
      <patternFill patternType="gray125"/>
    </fill>
    <fill>
      <patternFill patternType="solid">
        <fgColor rgb="FF1C2833"/>
        <bgColor rgb="FF2E4053"/>
      </patternFill>
    </fill>
    <fill>
      <patternFill patternType="solid">
        <fgColor rgb="FF5D8AA8"/>
        <bgColor rgb="FF708090"/>
      </patternFill>
    </fill>
    <fill>
      <patternFill patternType="solid">
        <fgColor rgb="FFF2F3F4"/>
        <bgColor rgb="FFEBF5FB"/>
      </patternFill>
    </fill>
    <fill>
      <patternFill patternType="solid">
        <fgColor rgb="FFE8ECF0"/>
        <bgColor rgb="FFEAF0F6"/>
      </patternFill>
    </fill>
    <fill>
      <patternFill patternType="solid">
        <fgColor rgb="FFEAF0F6"/>
        <bgColor rgb="FFE8ECF0"/>
      </patternFill>
    </fill>
    <fill>
      <patternFill patternType="solid">
        <fgColor rgb="FFD5D8DC"/>
        <bgColor rgb="FFE8ECF0"/>
      </patternFill>
    </fill>
    <fill>
      <patternFill patternType="solid">
        <fgColor rgb="FFEBF5FB"/>
        <bgColor rgb="FFEAF0F6"/>
      </patternFill>
    </fill>
    <fill>
      <patternFill patternType="solid">
        <fgColor rgb="FFFADBD8"/>
        <bgColor rgb="FFE8ECF0"/>
      </patternFill>
    </fill>
    <fill>
      <patternFill patternType="solid">
        <fgColor rgb="FFD5F5E3"/>
        <bgColor rgb="FFE8ECF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rgb="FF2E4053"/>
      </patternFill>
    </fill>
    <fill>
      <patternFill patternType="solid">
        <fgColor theme="3" tint="0.39997558519241921"/>
        <bgColor rgb="FF1C2833"/>
      </patternFill>
    </fill>
    <fill>
      <patternFill patternType="solid">
        <fgColor theme="3" tint="0.59999389629810485"/>
        <bgColor rgb="FF708090"/>
      </patternFill>
    </fill>
    <fill>
      <patternFill patternType="solid">
        <fgColor theme="3" tint="0.59999389629810485"/>
        <bgColor rgb="FF2E4053"/>
      </patternFill>
    </fill>
    <fill>
      <patternFill patternType="solid">
        <fgColor theme="3" tint="0.79998168889431442"/>
        <bgColor rgb="FF1C2833"/>
      </patternFill>
    </fill>
  </fills>
  <borders count="15">
    <border>
      <left/>
      <right/>
      <top/>
      <bottom/>
      <diagonal/>
    </border>
    <border>
      <left style="thin">
        <color rgb="FF808B96"/>
      </left>
      <right style="thin">
        <color rgb="FF808B96"/>
      </right>
      <top style="thin">
        <color rgb="FF808B96"/>
      </top>
      <bottom style="thin">
        <color rgb="FF808B96"/>
      </bottom>
      <diagonal/>
    </border>
    <border>
      <left style="thin">
        <color rgb="FF808B96"/>
      </left>
      <right/>
      <top style="thin">
        <color rgb="FF808B96"/>
      </top>
      <bottom style="thin">
        <color rgb="FF808B96"/>
      </bottom>
      <diagonal/>
    </border>
    <border>
      <left/>
      <right/>
      <top style="thin">
        <color rgb="FF808B96"/>
      </top>
      <bottom style="thin">
        <color rgb="FF808B96"/>
      </bottom>
      <diagonal/>
    </border>
    <border>
      <left/>
      <right style="thin">
        <color rgb="FF808B96"/>
      </right>
      <top/>
      <bottom/>
      <diagonal/>
    </border>
    <border>
      <left/>
      <right style="thin">
        <color rgb="FF808B96"/>
      </right>
      <top style="thin">
        <color rgb="FF808B96"/>
      </top>
      <bottom style="thin">
        <color rgb="FF808B96"/>
      </bottom>
      <diagonal/>
    </border>
    <border>
      <left style="thin">
        <color rgb="FF808B96"/>
      </left>
      <right/>
      <top style="thin">
        <color rgb="FF808B96"/>
      </top>
      <bottom/>
      <diagonal/>
    </border>
    <border>
      <left style="thin">
        <color rgb="FF808B96"/>
      </left>
      <right style="thin">
        <color rgb="FF808B96"/>
      </right>
      <top/>
      <bottom style="thin">
        <color rgb="FF808B96"/>
      </bottom>
      <diagonal/>
    </border>
    <border>
      <left style="thin">
        <color rgb="FF808B96"/>
      </left>
      <right style="thin">
        <color rgb="FF808B96"/>
      </right>
      <top/>
      <bottom/>
      <diagonal/>
    </border>
    <border>
      <left style="double">
        <color theme="3"/>
      </left>
      <right style="double">
        <color theme="3"/>
      </right>
      <top style="double">
        <color theme="3"/>
      </top>
      <bottom style="double">
        <color theme="3"/>
      </bottom>
      <diagonal/>
    </border>
    <border>
      <left style="thin">
        <color rgb="FF808B96"/>
      </left>
      <right/>
      <top/>
      <bottom style="thin">
        <color rgb="FF808B96"/>
      </bottom>
      <diagonal/>
    </border>
    <border>
      <left/>
      <right style="thin">
        <color rgb="FF808B96"/>
      </right>
      <top style="thin">
        <color rgb="FF808B96"/>
      </top>
      <bottom/>
      <diagonal/>
    </border>
    <border>
      <left/>
      <right/>
      <top style="thin">
        <color rgb="FF808B96"/>
      </top>
      <bottom/>
      <diagonal/>
    </border>
    <border>
      <left style="thin">
        <color rgb="FF808B96"/>
      </left>
      <right style="thin">
        <color rgb="FF808B96"/>
      </right>
      <top style="thin">
        <color rgb="FF808B96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0" borderId="0" xfId="0" applyFont="1"/>
    <xf numFmtId="0" fontId="1" fillId="0" borderId="1" xfId="0" applyFont="1" applyBorder="1" applyAlignment="1">
      <alignment horizontal="left" vertical="center" indent="1"/>
    </xf>
    <xf numFmtId="164" fontId="1" fillId="0" borderId="1" xfId="0" applyNumberFormat="1" applyFont="1" applyBorder="1" applyAlignment="1">
      <alignment horizontal="right" vertical="center"/>
    </xf>
    <xf numFmtId="167" fontId="1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6" fontId="6" fillId="0" borderId="1" xfId="0" applyNumberFormat="1" applyFont="1" applyBorder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164" fontId="2" fillId="13" borderId="1" xfId="0" applyNumberFormat="1" applyFont="1" applyFill="1" applyBorder="1" applyAlignment="1">
      <alignment horizontal="center" vertical="center" wrapText="1"/>
    </xf>
    <xf numFmtId="165" fontId="6" fillId="13" borderId="1" xfId="0" applyNumberFormat="1" applyFont="1" applyFill="1" applyBorder="1" applyAlignment="1">
      <alignment horizontal="center" vertical="center" wrapText="1"/>
    </xf>
    <xf numFmtId="166" fontId="6" fillId="13" borderId="1" xfId="0" applyNumberFormat="1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left" vertical="center" indent="1"/>
    </xf>
    <xf numFmtId="164" fontId="1" fillId="12" borderId="1" xfId="0" applyNumberFormat="1" applyFont="1" applyFill="1" applyBorder="1" applyAlignment="1">
      <alignment horizontal="right" vertical="center"/>
    </xf>
    <xf numFmtId="164" fontId="6" fillId="12" borderId="1" xfId="0" applyNumberFormat="1" applyFont="1" applyFill="1" applyBorder="1" applyAlignment="1">
      <alignment horizontal="right" vertical="center"/>
    </xf>
    <xf numFmtId="0" fontId="3" fillId="3" borderId="0" xfId="0" applyFont="1" applyFill="1"/>
    <xf numFmtId="0" fontId="3" fillId="6" borderId="0" xfId="0" applyFont="1" applyFill="1"/>
    <xf numFmtId="0" fontId="1" fillId="6" borderId="1" xfId="0" applyFont="1" applyFill="1" applyBorder="1" applyAlignment="1">
      <alignment horizontal="left" vertical="center" indent="1"/>
    </xf>
    <xf numFmtId="49" fontId="1" fillId="8" borderId="1" xfId="0" applyNumberFormat="1" applyFont="1" applyFill="1" applyBorder="1" applyAlignment="1">
      <alignment horizontal="right" vertical="center"/>
    </xf>
    <xf numFmtId="0" fontId="3" fillId="4" borderId="0" xfId="0" applyFont="1" applyFill="1"/>
    <xf numFmtId="0" fontId="1" fillId="4" borderId="1" xfId="0" applyFont="1" applyFill="1" applyBorder="1" applyAlignment="1">
      <alignment horizontal="left" vertical="center" indent="1"/>
    </xf>
    <xf numFmtId="164" fontId="1" fillId="8" borderId="1" xfId="0" applyNumberFormat="1" applyFont="1" applyFill="1" applyBorder="1" applyAlignment="1">
      <alignment horizontal="right" vertical="center"/>
    </xf>
    <xf numFmtId="0" fontId="3" fillId="7" borderId="0" xfId="0" applyFont="1" applyFill="1"/>
    <xf numFmtId="0" fontId="8" fillId="7" borderId="1" xfId="0" applyFont="1" applyFill="1" applyBorder="1" applyAlignment="1">
      <alignment horizontal="left" vertical="center" indent="1"/>
    </xf>
    <xf numFmtId="164" fontId="8" fillId="7" borderId="1" xfId="0" applyNumberFormat="1" applyFont="1" applyFill="1" applyBorder="1" applyAlignment="1">
      <alignment horizontal="right" vertical="center"/>
    </xf>
    <xf numFmtId="167" fontId="1" fillId="8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0" fontId="9" fillId="14" borderId="0" xfId="0" applyFont="1" applyFill="1" applyAlignment="1">
      <alignment horizontal="center" vertical="center" wrapText="1"/>
    </xf>
    <xf numFmtId="0" fontId="8" fillId="15" borderId="1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 indent="1"/>
    </xf>
    <xf numFmtId="49" fontId="1" fillId="8" borderId="5" xfId="0" applyNumberFormat="1" applyFont="1" applyFill="1" applyBorder="1" applyAlignment="1">
      <alignment horizontal="right" vertical="center"/>
    </xf>
    <xf numFmtId="0" fontId="8" fillId="16" borderId="6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 indent="1"/>
    </xf>
    <xf numFmtId="49" fontId="1" fillId="6" borderId="8" xfId="0" applyNumberFormat="1" applyFont="1" applyFill="1" applyBorder="1" applyAlignment="1">
      <alignment horizontal="right" vertical="center"/>
    </xf>
    <xf numFmtId="164" fontId="8" fillId="7" borderId="7" xfId="0" applyNumberFormat="1" applyFont="1" applyFill="1" applyBorder="1" applyAlignment="1">
      <alignment horizontal="right" vertical="center"/>
    </xf>
    <xf numFmtId="49" fontId="1" fillId="8" borderId="9" xfId="0" applyNumberFormat="1" applyFont="1" applyFill="1" applyBorder="1" applyAlignment="1">
      <alignment horizontal="right" vertical="center"/>
    </xf>
    <xf numFmtId="168" fontId="1" fillId="8" borderId="9" xfId="0" applyNumberFormat="1" applyFont="1" applyFill="1" applyBorder="1" applyAlignment="1">
      <alignment horizontal="right" vertical="center"/>
    </xf>
    <xf numFmtId="166" fontId="1" fillId="8" borderId="9" xfId="0" applyNumberFormat="1" applyFont="1" applyFill="1" applyBorder="1" applyAlignment="1">
      <alignment horizontal="right" vertical="center"/>
    </xf>
    <xf numFmtId="164" fontId="1" fillId="8" borderId="9" xfId="0" applyNumberFormat="1" applyFont="1" applyFill="1" applyBorder="1" applyAlignment="1">
      <alignment horizontal="right" vertical="center"/>
    </xf>
    <xf numFmtId="164" fontId="8" fillId="7" borderId="8" xfId="0" applyNumberFormat="1" applyFont="1" applyFill="1" applyBorder="1" applyAlignment="1">
      <alignment horizontal="right" vertical="center"/>
    </xf>
    <xf numFmtId="167" fontId="1" fillId="8" borderId="9" xfId="0" applyNumberFormat="1" applyFont="1" applyFill="1" applyBorder="1" applyAlignment="1">
      <alignment horizontal="right" vertical="center"/>
    </xf>
    <xf numFmtId="164" fontId="1" fillId="8" borderId="5" xfId="0" applyNumberFormat="1" applyFont="1" applyFill="1" applyBorder="1" applyAlignment="1">
      <alignment horizontal="right" vertical="center"/>
    </xf>
    <xf numFmtId="167" fontId="1" fillId="8" borderId="10" xfId="0" applyNumberFormat="1" applyFont="1" applyFill="1" applyBorder="1" applyAlignment="1">
      <alignment horizontal="right" vertical="center"/>
    </xf>
    <xf numFmtId="167" fontId="1" fillId="8" borderId="5" xfId="0" applyNumberFormat="1" applyFont="1" applyFill="1" applyBorder="1" applyAlignment="1">
      <alignment horizontal="right" vertical="center"/>
    </xf>
    <xf numFmtId="164" fontId="1" fillId="8" borderId="11" xfId="0" applyNumberFormat="1" applyFont="1" applyFill="1" applyBorder="1" applyAlignment="1">
      <alignment horizontal="right" vertical="center"/>
    </xf>
    <xf numFmtId="167" fontId="1" fillId="8" borderId="11" xfId="0" applyNumberFormat="1" applyFont="1" applyFill="1" applyBorder="1" applyAlignment="1">
      <alignment horizontal="right" vertical="center"/>
    </xf>
    <xf numFmtId="164" fontId="1" fillId="4" borderId="8" xfId="0" applyNumberFormat="1" applyFont="1" applyFill="1" applyBorder="1" applyAlignment="1">
      <alignment horizontal="right" vertical="center"/>
    </xf>
    <xf numFmtId="169" fontId="6" fillId="0" borderId="9" xfId="0" applyNumberFormat="1" applyFont="1" applyBorder="1"/>
    <xf numFmtId="164" fontId="1" fillId="6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center" indent="2"/>
    </xf>
    <xf numFmtId="167" fontId="1" fillId="4" borderId="1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left" vertical="center" indent="2"/>
    </xf>
    <xf numFmtId="167" fontId="1" fillId="6" borderId="1" xfId="0" applyNumberFormat="1" applyFont="1" applyFill="1" applyBorder="1" applyAlignment="1">
      <alignment horizontal="right" vertical="center"/>
    </xf>
    <xf numFmtId="0" fontId="3" fillId="5" borderId="0" xfId="0" applyFont="1" applyFill="1"/>
    <xf numFmtId="0" fontId="8" fillId="5" borderId="1" xfId="0" applyFont="1" applyFill="1" applyBorder="1" applyAlignment="1">
      <alignment horizontal="left" vertical="center" indent="1"/>
    </xf>
    <xf numFmtId="164" fontId="8" fillId="5" borderId="1" xfId="0" applyNumberFormat="1" applyFont="1" applyFill="1" applyBorder="1" applyAlignment="1">
      <alignment horizontal="right" vertical="center"/>
    </xf>
    <xf numFmtId="164" fontId="1" fillId="7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9" fillId="17" borderId="0" xfId="0" applyFont="1" applyFill="1" applyAlignment="1">
      <alignment horizontal="center" vertical="center" wrapText="1"/>
    </xf>
    <xf numFmtId="0" fontId="6" fillId="0" borderId="0" xfId="0" applyFont="1"/>
    <xf numFmtId="164" fontId="6" fillId="4" borderId="1" xfId="0" applyNumberFormat="1" applyFont="1" applyFill="1" applyBorder="1" applyAlignment="1">
      <alignment horizontal="right" vertical="center"/>
    </xf>
    <xf numFmtId="0" fontId="3" fillId="7" borderId="4" xfId="0" applyFont="1" applyFill="1" applyBorder="1"/>
    <xf numFmtId="164" fontId="6" fillId="7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0" fontId="8" fillId="16" borderId="3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4" fontId="1" fillId="4" borderId="5" xfId="0" applyNumberFormat="1" applyFont="1" applyFill="1" applyBorder="1" applyAlignment="1">
      <alignment horizontal="right" vertical="center"/>
    </xf>
    <xf numFmtId="0" fontId="8" fillId="16" borderId="12" xfId="0" applyFont="1" applyFill="1" applyBorder="1" applyAlignment="1">
      <alignment horizontal="left" vertical="center"/>
    </xf>
    <xf numFmtId="164" fontId="6" fillId="7" borderId="7" xfId="0" applyNumberFormat="1" applyFont="1" applyFill="1" applyBorder="1" applyAlignment="1">
      <alignment horizontal="right" vertical="center"/>
    </xf>
    <xf numFmtId="164" fontId="1" fillId="4" borderId="9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left" vertical="center" indent="1"/>
    </xf>
    <xf numFmtId="164" fontId="1" fillId="6" borderId="5" xfId="0" applyNumberFormat="1" applyFont="1" applyFill="1" applyBorder="1" applyAlignment="1">
      <alignment horizontal="right" vertical="center"/>
    </xf>
    <xf numFmtId="164" fontId="1" fillId="5" borderId="13" xfId="0" applyNumberFormat="1" applyFont="1" applyFill="1" applyBorder="1" applyAlignment="1">
      <alignment horizontal="right" vertical="center"/>
    </xf>
    <xf numFmtId="164" fontId="8" fillId="5" borderId="7" xfId="0" applyNumberFormat="1" applyFont="1" applyFill="1" applyBorder="1" applyAlignment="1">
      <alignment horizontal="right" vertical="center"/>
    </xf>
    <xf numFmtId="164" fontId="1" fillId="6" borderId="9" xfId="0" applyNumberFormat="1" applyFont="1" applyFill="1" applyBorder="1" applyAlignment="1">
      <alignment horizontal="right" vertical="center"/>
    </xf>
    <xf numFmtId="164" fontId="1" fillId="4" borderId="13" xfId="0" applyNumberFormat="1" applyFont="1" applyFill="1" applyBorder="1" applyAlignment="1">
      <alignment horizontal="right" vertical="center"/>
    </xf>
    <xf numFmtId="164" fontId="1" fillId="5" borderId="8" xfId="0" applyNumberFormat="1" applyFont="1" applyFill="1" applyBorder="1" applyAlignment="1">
      <alignment horizontal="right" vertical="center"/>
    </xf>
    <xf numFmtId="166" fontId="1" fillId="6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 applyAlignment="1">
      <alignment horizontal="left" vertical="center" indent="1"/>
    </xf>
    <xf numFmtId="164" fontId="8" fillId="4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horizontal="left" vertical="center" indent="1"/>
    </xf>
    <xf numFmtId="166" fontId="6" fillId="7" borderId="1" xfId="0" applyNumberFormat="1" applyFont="1" applyFill="1" applyBorder="1" applyAlignment="1">
      <alignment horizontal="right" vertical="center"/>
    </xf>
    <xf numFmtId="165" fontId="6" fillId="7" borderId="1" xfId="0" applyNumberFormat="1" applyFont="1" applyFill="1" applyBorder="1" applyAlignment="1">
      <alignment horizontal="right" vertical="center"/>
    </xf>
    <xf numFmtId="167" fontId="6" fillId="4" borderId="1" xfId="0" applyNumberFormat="1" applyFont="1" applyFill="1" applyBorder="1" applyAlignment="1">
      <alignment horizontal="right" vertical="center"/>
    </xf>
    <xf numFmtId="0" fontId="3" fillId="2" borderId="0" xfId="0" applyFont="1" applyFill="1"/>
    <xf numFmtId="165" fontId="6" fillId="9" borderId="1" xfId="0" applyNumberFormat="1" applyFont="1" applyFill="1" applyBorder="1" applyAlignment="1">
      <alignment horizontal="center" vertical="center" wrapText="1"/>
    </xf>
    <xf numFmtId="165" fontId="6" fillId="10" borderId="1" xfId="0" applyNumberFormat="1" applyFont="1" applyFill="1" applyBorder="1" applyAlignment="1">
      <alignment horizontal="center" vertical="center" wrapText="1"/>
    </xf>
    <xf numFmtId="166" fontId="6" fillId="9" borderId="1" xfId="0" applyNumberFormat="1" applyFont="1" applyFill="1" applyBorder="1" applyAlignment="1">
      <alignment horizontal="center" vertical="center" wrapText="1"/>
    </xf>
    <xf numFmtId="166" fontId="6" fillId="10" borderId="1" xfId="0" applyNumberFormat="1" applyFont="1" applyFill="1" applyBorder="1" applyAlignment="1">
      <alignment horizontal="center" vertical="center" wrapText="1"/>
    </xf>
    <xf numFmtId="0" fontId="8" fillId="7" borderId="1" xfId="0" applyNumberFormat="1" applyFont="1" applyFill="1" applyBorder="1" applyAlignment="1">
      <alignment horizontal="right" vertical="center"/>
    </xf>
    <xf numFmtId="0" fontId="5" fillId="18" borderId="1" xfId="0" applyFont="1" applyFill="1" applyBorder="1" applyAlignment="1">
      <alignment horizontal="center" vertical="center" wrapText="1"/>
    </xf>
    <xf numFmtId="166" fontId="8" fillId="18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164" fontId="6" fillId="6" borderId="9" xfId="0" applyNumberFormat="1" applyFont="1" applyFill="1" applyBorder="1" applyAlignment="1">
      <alignment horizontal="right" vertical="center"/>
    </xf>
    <xf numFmtId="0" fontId="8" fillId="7" borderId="13" xfId="0" applyFont="1" applyFill="1" applyBorder="1" applyAlignment="1">
      <alignment horizontal="left" vertical="center"/>
    </xf>
    <xf numFmtId="164" fontId="8" fillId="7" borderId="13" xfId="0" applyNumberFormat="1" applyFont="1" applyFill="1" applyBorder="1" applyAlignment="1">
      <alignment horizontal="right" vertical="center"/>
    </xf>
    <xf numFmtId="0" fontId="8" fillId="10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839CB5"/>
      <rgbColor rgb="FF993366"/>
      <rgbColor rgb="FFF2F3F4"/>
      <rgbColor rgb="FFEBF5FB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6"/>
      <rgbColor rgb="FFD5F5E3"/>
      <rgbColor rgb="FFE8ECF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4A6278"/>
      <rgbColor rgb="FF808B96"/>
      <rgbColor rgb="FF003366"/>
      <rgbColor rgb="FF5D8AA8"/>
      <rgbColor rgb="FF003300"/>
      <rgbColor rgb="FF1C2833"/>
      <rgbColor rgb="FF993300"/>
      <rgbColor rgb="FF993366"/>
      <rgbColor rgb="FF333399"/>
      <rgbColor rgb="FF2E40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C2833"/>
  </sheetPr>
  <dimension ref="A1:J29"/>
  <sheetViews>
    <sheetView showGridLines="0" tabSelected="1" zoomScaleNormal="100" workbookViewId="0">
      <selection sqref="A1:J1"/>
    </sheetView>
  </sheetViews>
  <sheetFormatPr defaultColWidth="8.7109375" defaultRowHeight="15" x14ac:dyDescent="0.25"/>
  <cols>
    <col min="1" max="1" width="2" style="1" customWidth="1"/>
    <col min="2" max="2" width="28" style="1" customWidth="1"/>
    <col min="3" max="6" width="16" style="1" customWidth="1"/>
    <col min="7" max="7" width="13.7109375" style="1" bestFit="1" customWidth="1"/>
    <col min="8" max="8" width="28" style="1" customWidth="1"/>
    <col min="9" max="10" width="16" style="1" customWidth="1"/>
    <col min="11" max="16384" width="8.7109375" style="1"/>
  </cols>
  <sheetData>
    <row r="1" spans="1:10" ht="45" customHeight="1" x14ac:dyDescent="0.25">
      <c r="A1" s="9" t="s">
        <v>208</v>
      </c>
      <c r="B1" s="9"/>
      <c r="C1" s="9"/>
      <c r="D1" s="9"/>
      <c r="E1" s="9"/>
      <c r="F1" s="9"/>
      <c r="G1" s="9"/>
      <c r="H1" s="9"/>
      <c r="I1" s="9"/>
      <c r="J1" s="9"/>
    </row>
    <row r="2" spans="1:10" ht="7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</row>
    <row r="4" spans="1:10" ht="13.5" customHeight="1" x14ac:dyDescent="0.25">
      <c r="C4" s="10" t="s">
        <v>0</v>
      </c>
      <c r="D4" s="10" t="s">
        <v>1</v>
      </c>
      <c r="E4" s="10" t="s">
        <v>2</v>
      </c>
      <c r="F4" s="10" t="s">
        <v>3</v>
      </c>
      <c r="G4" s="10" t="s">
        <v>4</v>
      </c>
    </row>
    <row r="5" spans="1:10" ht="27.75" customHeight="1" x14ac:dyDescent="0.25">
      <c r="C5" s="12">
        <f>Assumptions!C12</f>
        <v>0</v>
      </c>
      <c r="D5" s="12">
        <f>Assumptions!C56</f>
        <v>0</v>
      </c>
      <c r="E5" s="12">
        <f>'Returns Analysis'!C11</f>
        <v>0</v>
      </c>
      <c r="F5" s="13" t="str">
        <f>'Returns Analysis'!C19</f>
        <v>N/A</v>
      </c>
      <c r="G5" s="14" t="str">
        <f>'Returns Analysis'!C18</f>
        <v>-</v>
      </c>
    </row>
    <row r="6" spans="1:10" ht="13.5" customHeight="1" x14ac:dyDescent="0.25"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</row>
    <row r="8" spans="1:10" ht="18" customHeight="1" x14ac:dyDescent="0.25">
      <c r="A8" s="15" t="s">
        <v>10</v>
      </c>
      <c r="B8" s="15"/>
      <c r="C8" s="15"/>
      <c r="D8" s="15"/>
      <c r="E8" s="15"/>
      <c r="F8" s="15"/>
      <c r="G8" s="15"/>
      <c r="H8" s="15"/>
      <c r="I8" s="15"/>
      <c r="J8" s="15"/>
    </row>
    <row r="9" spans="1:10" ht="18" customHeight="1" x14ac:dyDescent="0.25">
      <c r="B9" s="16" t="s">
        <v>11</v>
      </c>
      <c r="C9" s="16" t="s">
        <v>12</v>
      </c>
      <c r="D9" s="16" t="s">
        <v>13</v>
      </c>
      <c r="E9" s="16" t="s">
        <v>14</v>
      </c>
      <c r="F9" s="16" t="s">
        <v>15</v>
      </c>
      <c r="G9" s="16" t="s">
        <v>16</v>
      </c>
      <c r="H9" s="16" t="s">
        <v>17</v>
      </c>
    </row>
    <row r="10" spans="1:10" ht="15.75" customHeight="1" x14ac:dyDescent="0.25">
      <c r="B10" s="2" t="s">
        <v>18</v>
      </c>
      <c r="C10" s="3">
        <f>'Income Statement'!C6</f>
        <v>0</v>
      </c>
      <c r="D10" s="3">
        <f>'Income Statement'!D6</f>
        <v>0</v>
      </c>
      <c r="E10" s="3">
        <f>'Income Statement'!E6</f>
        <v>0</v>
      </c>
      <c r="F10" s="3">
        <f>'Income Statement'!F6</f>
        <v>0</v>
      </c>
      <c r="G10" s="3">
        <f>'Income Statement'!G6</f>
        <v>0</v>
      </c>
      <c r="H10" s="3">
        <f>'Income Statement'!H6</f>
        <v>0</v>
      </c>
    </row>
    <row r="11" spans="1:10" ht="15.75" customHeight="1" x14ac:dyDescent="0.25">
      <c r="B11" s="2" t="s">
        <v>19</v>
      </c>
      <c r="C11" s="4" t="str">
        <f>'Income Statement'!C7</f>
        <v>"-"</v>
      </c>
      <c r="D11" s="4" t="str">
        <f>'Income Statement'!D7</f>
        <v>-</v>
      </c>
      <c r="E11" s="4" t="str">
        <f>'Income Statement'!E7</f>
        <v>-</v>
      </c>
      <c r="F11" s="4" t="str">
        <f>'Income Statement'!F7</f>
        <v>-</v>
      </c>
      <c r="G11" s="4" t="str">
        <f>'Income Statement'!G7</f>
        <v>-</v>
      </c>
      <c r="H11" s="4" t="str">
        <f>'Income Statement'!H7</f>
        <v>-</v>
      </c>
    </row>
    <row r="12" spans="1:10" ht="15.75" customHeight="1" x14ac:dyDescent="0.25">
      <c r="B12" s="2" t="s">
        <v>20</v>
      </c>
      <c r="C12" s="3">
        <f>'Income Statement'!C11</f>
        <v>0</v>
      </c>
      <c r="D12" s="3">
        <f>'Income Statement'!D11</f>
        <v>0</v>
      </c>
      <c r="E12" s="3">
        <f>'Income Statement'!E11</f>
        <v>0</v>
      </c>
      <c r="F12" s="3">
        <f>'Income Statement'!F11</f>
        <v>0</v>
      </c>
      <c r="G12" s="3">
        <f>'Income Statement'!G11</f>
        <v>0</v>
      </c>
      <c r="H12" s="3">
        <f>'Income Statement'!H11</f>
        <v>0</v>
      </c>
    </row>
    <row r="13" spans="1:10" ht="15.75" customHeight="1" x14ac:dyDescent="0.25">
      <c r="B13" s="2" t="s">
        <v>21</v>
      </c>
      <c r="C13" s="4" t="str">
        <f>'Income Statement'!C12</f>
        <v>-</v>
      </c>
      <c r="D13" s="4" t="str">
        <f>'Income Statement'!D12</f>
        <v>-</v>
      </c>
      <c r="E13" s="4" t="str">
        <f>'Income Statement'!E12</f>
        <v>-</v>
      </c>
      <c r="F13" s="4" t="str">
        <f>'Income Statement'!F12</f>
        <v>-</v>
      </c>
      <c r="G13" s="4" t="str">
        <f>'Income Statement'!G12</f>
        <v>-</v>
      </c>
      <c r="H13" s="4" t="str">
        <f>'Income Statement'!H12</f>
        <v>-</v>
      </c>
    </row>
    <row r="14" spans="1:10" ht="15.75" customHeight="1" x14ac:dyDescent="0.25">
      <c r="B14" s="17" t="s">
        <v>22</v>
      </c>
      <c r="C14" s="18">
        <f>'Income Statement'!C21</f>
        <v>0</v>
      </c>
      <c r="D14" s="18">
        <f>'Income Statement'!D21</f>
        <v>0</v>
      </c>
      <c r="E14" s="18">
        <f>'Income Statement'!E21</f>
        <v>0</v>
      </c>
      <c r="F14" s="18">
        <f>'Income Statement'!F21</f>
        <v>0</v>
      </c>
      <c r="G14" s="18">
        <f>'Income Statement'!G21</f>
        <v>0</v>
      </c>
      <c r="H14" s="18">
        <f>'Income Statement'!H21</f>
        <v>0</v>
      </c>
    </row>
    <row r="15" spans="1:10" ht="15.75" customHeight="1" x14ac:dyDescent="0.25">
      <c r="B15" s="2" t="s">
        <v>23</v>
      </c>
      <c r="C15" s="4" t="str">
        <f>'Income Statement'!C22</f>
        <v>-</v>
      </c>
      <c r="D15" s="4" t="str">
        <f>'Income Statement'!D22</f>
        <v>-</v>
      </c>
      <c r="E15" s="4" t="str">
        <f>'Income Statement'!E22</f>
        <v>-</v>
      </c>
      <c r="F15" s="4" t="str">
        <f>'Income Statement'!F22</f>
        <v>-</v>
      </c>
      <c r="G15" s="4" t="str">
        <f>'Income Statement'!G22</f>
        <v>-</v>
      </c>
      <c r="H15" s="4" t="str">
        <f>'Income Statement'!H22</f>
        <v>-</v>
      </c>
    </row>
    <row r="16" spans="1:10" ht="15.75" customHeight="1" x14ac:dyDescent="0.25">
      <c r="B16" s="2" t="s">
        <v>24</v>
      </c>
      <c r="C16" s="3">
        <f>'Income Statement'!C24</f>
        <v>0</v>
      </c>
      <c r="D16" s="3">
        <f>'Income Statement'!D24</f>
        <v>0</v>
      </c>
      <c r="E16" s="3">
        <f>'Income Statement'!E24</f>
        <v>0</v>
      </c>
      <c r="F16" s="3">
        <f>'Income Statement'!F24</f>
        <v>0</v>
      </c>
      <c r="G16" s="3">
        <f>'Income Statement'!G24</f>
        <v>0</v>
      </c>
      <c r="H16" s="3">
        <f>'Income Statement'!H24</f>
        <v>0</v>
      </c>
    </row>
    <row r="17" spans="1:10" ht="15.75" customHeight="1" x14ac:dyDescent="0.25">
      <c r="B17" s="17" t="s">
        <v>25</v>
      </c>
      <c r="C17" s="18">
        <f>'Income Statement'!C31</f>
        <v>0</v>
      </c>
      <c r="D17" s="18">
        <f>'Income Statement'!D31</f>
        <v>0</v>
      </c>
      <c r="E17" s="18">
        <f>'Income Statement'!E31</f>
        <v>0</v>
      </c>
      <c r="F17" s="18">
        <f>'Income Statement'!F31</f>
        <v>0</v>
      </c>
      <c r="G17" s="18">
        <f>'Income Statement'!G31</f>
        <v>0</v>
      </c>
      <c r="H17" s="18">
        <f>'Income Statement'!H31</f>
        <v>0</v>
      </c>
    </row>
    <row r="18" spans="1:10" ht="15.75" customHeight="1" x14ac:dyDescent="0.25">
      <c r="B18" s="2" t="s">
        <v>26</v>
      </c>
      <c r="C18" s="3">
        <f>'Cash Flow Statement'!C12</f>
        <v>0</v>
      </c>
      <c r="D18" s="3">
        <f>'Cash Flow Statement'!D12</f>
        <v>0</v>
      </c>
      <c r="E18" s="3">
        <f>'Cash Flow Statement'!E12</f>
        <v>0</v>
      </c>
      <c r="F18" s="3">
        <f>'Cash Flow Statement'!F12</f>
        <v>0</v>
      </c>
      <c r="G18" s="3">
        <f>'Cash Flow Statement'!G12</f>
        <v>0</v>
      </c>
      <c r="H18" s="3">
        <f>'Cash Flow Statement'!H12</f>
        <v>0</v>
      </c>
    </row>
    <row r="19" spans="1:10" ht="15.75" customHeight="1" x14ac:dyDescent="0.25">
      <c r="B19" s="17" t="s">
        <v>27</v>
      </c>
      <c r="C19" s="19">
        <f>'Cash Flow Statement'!C22</f>
        <v>0</v>
      </c>
      <c r="D19" s="19">
        <f>'Cash Flow Statement'!D22</f>
        <v>0</v>
      </c>
      <c r="E19" s="19">
        <f>'Cash Flow Statement'!E22</f>
        <v>0</v>
      </c>
      <c r="F19" s="19">
        <f>'Cash Flow Statement'!F22</f>
        <v>0</v>
      </c>
      <c r="G19" s="19">
        <f>'Cash Flow Statement'!G22</f>
        <v>0</v>
      </c>
      <c r="H19" s="19">
        <f>'Cash Flow Statement'!H22</f>
        <v>0</v>
      </c>
    </row>
    <row r="20" spans="1:10" ht="15.75" customHeight="1" x14ac:dyDescent="0.25">
      <c r="B20" s="2" t="s">
        <v>28</v>
      </c>
      <c r="C20" s="5">
        <f>'Debt Schedule'!C29</f>
        <v>0</v>
      </c>
      <c r="D20" s="5">
        <f>'Debt Schedule'!D29</f>
        <v>0</v>
      </c>
      <c r="E20" s="5">
        <f>'Debt Schedule'!E29</f>
        <v>0</v>
      </c>
      <c r="F20" s="5">
        <f>'Debt Schedule'!F29</f>
        <v>0</v>
      </c>
      <c r="G20" s="5">
        <f>'Debt Schedule'!G29</f>
        <v>0</v>
      </c>
      <c r="H20" s="5">
        <f>'Debt Schedule'!H29</f>
        <v>0</v>
      </c>
    </row>
    <row r="21" spans="1:10" ht="15.75" customHeight="1" x14ac:dyDescent="0.25">
      <c r="B21" s="2" t="s">
        <v>29</v>
      </c>
      <c r="C21" s="6" t="str">
        <f>'Debt Schedule'!C30</f>
        <v>-</v>
      </c>
      <c r="D21" s="6" t="str">
        <f>'Debt Schedule'!D30</f>
        <v>-</v>
      </c>
      <c r="E21" s="6" t="str">
        <f>'Debt Schedule'!E30</f>
        <v>-</v>
      </c>
      <c r="F21" s="6" t="str">
        <f>'Debt Schedule'!F30</f>
        <v>-</v>
      </c>
      <c r="G21" s="6" t="str">
        <f>'Debt Schedule'!G30</f>
        <v>-</v>
      </c>
      <c r="H21" s="6" t="str">
        <f>'Debt Schedule'!H30</f>
        <v>-</v>
      </c>
    </row>
    <row r="23" spans="1:10" ht="18" customHeight="1" x14ac:dyDescent="0.25">
      <c r="A23" s="15" t="s">
        <v>30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ht="18" customHeight="1" x14ac:dyDescent="0.25">
      <c r="B24" s="16" t="s">
        <v>31</v>
      </c>
      <c r="C24" s="16" t="s">
        <v>32</v>
      </c>
      <c r="D24" s="16" t="s">
        <v>13</v>
      </c>
      <c r="E24" s="16" t="s">
        <v>14</v>
      </c>
      <c r="F24" s="16" t="s">
        <v>15</v>
      </c>
      <c r="G24" s="16" t="s">
        <v>16</v>
      </c>
      <c r="H24" s="16" t="s">
        <v>33</v>
      </c>
    </row>
    <row r="25" spans="1:10" ht="15.75" customHeight="1" x14ac:dyDescent="0.25">
      <c r="B25" s="2" t="s">
        <v>34</v>
      </c>
      <c r="C25" s="3">
        <f>'Debt Schedule'!C7</f>
        <v>0</v>
      </c>
      <c r="D25" s="3">
        <f>'Debt Schedule'!D7</f>
        <v>0</v>
      </c>
      <c r="E25" s="3">
        <f>'Debt Schedule'!E7</f>
        <v>0</v>
      </c>
      <c r="F25" s="3">
        <f>'Debt Schedule'!F7</f>
        <v>0</v>
      </c>
      <c r="G25" s="3">
        <f>'Debt Schedule'!G7</f>
        <v>0</v>
      </c>
      <c r="H25" s="3">
        <f>'Debt Schedule'!H7</f>
        <v>0</v>
      </c>
    </row>
    <row r="26" spans="1:10" ht="15.75" customHeight="1" x14ac:dyDescent="0.25">
      <c r="B26" s="2" t="s">
        <v>35</v>
      </c>
      <c r="C26" s="3">
        <f>'Debt Schedule'!C13</f>
        <v>0</v>
      </c>
      <c r="D26" s="3">
        <f>'Debt Schedule'!D13</f>
        <v>0</v>
      </c>
      <c r="E26" s="3">
        <f>'Debt Schedule'!E13</f>
        <v>0</v>
      </c>
      <c r="F26" s="3">
        <f>'Debt Schedule'!F13</f>
        <v>0</v>
      </c>
      <c r="G26" s="3">
        <f>'Debt Schedule'!G13</f>
        <v>0</v>
      </c>
      <c r="H26" s="3">
        <f>'Debt Schedule'!H13</f>
        <v>0</v>
      </c>
    </row>
    <row r="27" spans="1:10" ht="15.75" customHeight="1" x14ac:dyDescent="0.25">
      <c r="B27" s="2" t="s">
        <v>36</v>
      </c>
      <c r="C27" s="5">
        <f>'Debt Schedule'!C20</f>
        <v>0</v>
      </c>
      <c r="D27" s="5">
        <f>'Debt Schedule'!D20</f>
        <v>0</v>
      </c>
      <c r="E27" s="5">
        <f>'Debt Schedule'!E20</f>
        <v>0</v>
      </c>
      <c r="F27" s="5">
        <f>'Debt Schedule'!F20</f>
        <v>0</v>
      </c>
      <c r="G27" s="5">
        <f>'Debt Schedule'!G20</f>
        <v>0</v>
      </c>
      <c r="H27" s="5">
        <f>'Debt Schedule'!H20</f>
        <v>0</v>
      </c>
    </row>
    <row r="28" spans="1:10" ht="15.75" customHeight="1" x14ac:dyDescent="0.25">
      <c r="B28" s="2" t="s">
        <v>37</v>
      </c>
      <c r="C28" s="5">
        <f>'Debt Schedule'!C24</f>
        <v>0</v>
      </c>
      <c r="D28" s="5">
        <f>'Debt Schedule'!D24</f>
        <v>0</v>
      </c>
      <c r="E28" s="5">
        <f>'Debt Schedule'!E24</f>
        <v>0</v>
      </c>
      <c r="F28" s="5">
        <f>'Debt Schedule'!F24</f>
        <v>0</v>
      </c>
      <c r="G28" s="5">
        <f>'Debt Schedule'!G24</f>
        <v>0</v>
      </c>
      <c r="H28" s="5">
        <f>'Debt Schedule'!H24</f>
        <v>0</v>
      </c>
    </row>
    <row r="29" spans="1:10" ht="15.75" customHeight="1" x14ac:dyDescent="0.25">
      <c r="B29" s="17" t="s">
        <v>28</v>
      </c>
      <c r="C29" s="19">
        <f>'Debt Schedule'!C29</f>
        <v>0</v>
      </c>
      <c r="D29" s="19">
        <f>'Debt Schedule'!D29</f>
        <v>0</v>
      </c>
      <c r="E29" s="19">
        <f>'Debt Schedule'!E29</f>
        <v>0</v>
      </c>
      <c r="F29" s="19">
        <f>'Debt Schedule'!F29</f>
        <v>0</v>
      </c>
      <c r="G29" s="19">
        <f>'Debt Schedule'!G29</f>
        <v>0</v>
      </c>
      <c r="H29" s="19">
        <f>'Debt Schedule'!H29</f>
        <v>0</v>
      </c>
    </row>
  </sheetData>
  <mergeCells count="4">
    <mergeCell ref="A1:J1"/>
    <mergeCell ref="A2:J2"/>
    <mergeCell ref="A8:J8"/>
    <mergeCell ref="A23:J2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4053"/>
  </sheetPr>
  <dimension ref="A1:I59"/>
  <sheetViews>
    <sheetView showGridLines="0" zoomScaleNormal="100" workbookViewId="0">
      <selection sqref="A1:I1"/>
    </sheetView>
  </sheetViews>
  <sheetFormatPr defaultColWidth="8.7109375" defaultRowHeight="15" x14ac:dyDescent="0.25"/>
  <cols>
    <col min="1" max="1" width="2" style="1" customWidth="1"/>
    <col min="2" max="2" width="36" style="1" customWidth="1"/>
    <col min="3" max="8" width="14" style="1" customWidth="1"/>
    <col min="9" max="9" width="12" style="1" customWidth="1"/>
    <col min="10" max="16384" width="8.7109375" style="1"/>
  </cols>
  <sheetData>
    <row r="1" spans="1:9" ht="36" customHeight="1" x14ac:dyDescent="0.25">
      <c r="A1" s="32" t="s">
        <v>38</v>
      </c>
      <c r="B1" s="32"/>
      <c r="C1" s="32"/>
      <c r="D1" s="32"/>
      <c r="E1" s="32"/>
      <c r="F1" s="32"/>
      <c r="G1" s="32"/>
      <c r="H1" s="32"/>
      <c r="I1" s="32"/>
    </row>
    <row r="2" spans="1:9" ht="6" customHeigh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ht="13.5" customHeight="1" x14ac:dyDescent="0.25">
      <c r="A3" s="8"/>
      <c r="B3" s="8"/>
      <c r="C3" s="8"/>
      <c r="D3" s="8"/>
      <c r="E3" s="8"/>
      <c r="F3" s="8"/>
      <c r="G3" s="8"/>
      <c r="H3" s="8"/>
      <c r="I3" s="8"/>
    </row>
    <row r="4" spans="1:9" ht="21.75" customHeight="1" x14ac:dyDescent="0.25">
      <c r="B4" s="33" t="s">
        <v>39</v>
      </c>
      <c r="C4" s="33" t="s">
        <v>12</v>
      </c>
      <c r="D4" s="33" t="s">
        <v>13</v>
      </c>
      <c r="E4" s="33" t="s">
        <v>14</v>
      </c>
      <c r="F4" s="33" t="s">
        <v>15</v>
      </c>
      <c r="G4" s="33" t="s">
        <v>16</v>
      </c>
      <c r="H4" s="33" t="s">
        <v>17</v>
      </c>
    </row>
    <row r="5" spans="1:9" ht="18" customHeight="1" thickBot="1" x14ac:dyDescent="0.3">
      <c r="A5" s="34" t="s">
        <v>40</v>
      </c>
      <c r="B5" s="34"/>
      <c r="C5" s="37"/>
      <c r="D5" s="37"/>
      <c r="E5" s="37"/>
      <c r="F5" s="37"/>
      <c r="G5" s="37"/>
      <c r="H5" s="37"/>
      <c r="I5" s="34"/>
    </row>
    <row r="6" spans="1:9" ht="15.75" customHeight="1" thickTop="1" thickBot="1" x14ac:dyDescent="0.3">
      <c r="A6" s="21"/>
      <c r="B6" s="35" t="s">
        <v>41</v>
      </c>
      <c r="C6" s="41"/>
      <c r="D6" s="41"/>
      <c r="E6" s="41"/>
      <c r="F6" s="41"/>
      <c r="G6" s="41"/>
      <c r="H6" s="41"/>
    </row>
    <row r="7" spans="1:9" ht="15.75" customHeight="1" thickTop="1" thickBot="1" x14ac:dyDescent="0.3">
      <c r="A7" s="24"/>
      <c r="B7" s="38" t="s">
        <v>42</v>
      </c>
      <c r="C7" s="42"/>
      <c r="D7" s="42"/>
      <c r="E7" s="42"/>
      <c r="F7" s="42"/>
      <c r="G7" s="42"/>
      <c r="H7" s="42"/>
    </row>
    <row r="8" spans="1:9" ht="15.75" customHeight="1" thickTop="1" thickBot="1" x14ac:dyDescent="0.3">
      <c r="A8" s="21"/>
      <c r="B8" s="22" t="s">
        <v>43</v>
      </c>
      <c r="C8" s="39" t="s">
        <v>209</v>
      </c>
      <c r="D8" s="39" t="s">
        <v>209</v>
      </c>
      <c r="E8" s="39" t="s">
        <v>209</v>
      </c>
      <c r="F8" s="39" t="s">
        <v>209</v>
      </c>
      <c r="G8" s="39" t="s">
        <v>209</v>
      </c>
      <c r="H8" s="39" t="s">
        <v>209</v>
      </c>
    </row>
    <row r="9" spans="1:9" ht="15.75" customHeight="1" thickTop="1" thickBot="1" x14ac:dyDescent="0.3">
      <c r="A9" s="24"/>
      <c r="B9" s="38" t="s">
        <v>44</v>
      </c>
      <c r="C9" s="43"/>
      <c r="D9" s="43"/>
      <c r="E9" s="43"/>
      <c r="F9" s="43"/>
      <c r="G9" s="43"/>
      <c r="H9" s="43"/>
    </row>
    <row r="10" spans="1:9" ht="15.75" customHeight="1" thickTop="1" thickBot="1" x14ac:dyDescent="0.3">
      <c r="A10" s="21"/>
      <c r="B10" s="35" t="s">
        <v>45</v>
      </c>
      <c r="C10" s="43"/>
      <c r="D10" s="43"/>
      <c r="E10" s="43"/>
      <c r="F10" s="43"/>
      <c r="G10" s="43"/>
      <c r="H10" s="43"/>
    </row>
    <row r="11" spans="1:9" ht="15.75" customHeight="1" thickTop="1" thickBot="1" x14ac:dyDescent="0.3">
      <c r="A11" s="24"/>
      <c r="B11" s="38" t="s">
        <v>46</v>
      </c>
      <c r="C11" s="44"/>
      <c r="D11" s="44"/>
      <c r="E11" s="44"/>
      <c r="F11" s="44"/>
      <c r="G11" s="44"/>
      <c r="H11" s="44"/>
    </row>
    <row r="12" spans="1:9" ht="15.75" customHeight="1" thickTop="1" thickBot="1" x14ac:dyDescent="0.3">
      <c r="A12" s="27"/>
      <c r="B12" s="28" t="s">
        <v>47</v>
      </c>
      <c r="C12" s="45">
        <f>Assumptions!C9*Assumptions!C11</f>
        <v>0</v>
      </c>
      <c r="D12" s="45">
        <f>Assumptions!D9*Assumptions!D11</f>
        <v>0</v>
      </c>
      <c r="E12" s="45">
        <f>Assumptions!E9*Assumptions!E11</f>
        <v>0</v>
      </c>
      <c r="F12" s="45">
        <f>Assumptions!F9*Assumptions!F11</f>
        <v>0</v>
      </c>
      <c r="G12" s="45">
        <f>Assumptions!G9*Assumptions!G11</f>
        <v>0</v>
      </c>
      <c r="H12" s="45">
        <f>Assumptions!H9*Assumptions!H11</f>
        <v>0</v>
      </c>
    </row>
    <row r="13" spans="1:9" ht="15.75" customHeight="1" thickTop="1" thickBot="1" x14ac:dyDescent="0.3">
      <c r="A13" s="24"/>
      <c r="B13" s="38" t="s">
        <v>48</v>
      </c>
      <c r="C13" s="44"/>
      <c r="D13" s="44"/>
      <c r="E13" s="44"/>
      <c r="F13" s="44"/>
      <c r="G13" s="44"/>
      <c r="H13" s="44"/>
    </row>
    <row r="14" spans="1:9" ht="15.75" customHeight="1" thickTop="1" x14ac:dyDescent="0.25">
      <c r="A14" s="27"/>
      <c r="B14" s="28" t="s">
        <v>49</v>
      </c>
      <c r="C14" s="40">
        <f>Assumptions!C12-Assumptions!C13</f>
        <v>0</v>
      </c>
      <c r="D14" s="40">
        <f>Assumptions!D12-Assumptions!D13</f>
        <v>0</v>
      </c>
      <c r="E14" s="40">
        <f>Assumptions!E12-Assumptions!E13</f>
        <v>0</v>
      </c>
      <c r="F14" s="40">
        <f>Assumptions!F12-Assumptions!F13</f>
        <v>0</v>
      </c>
      <c r="G14" s="40">
        <f>Assumptions!G12-Assumptions!G13</f>
        <v>0</v>
      </c>
      <c r="H14" s="40">
        <f>Assumptions!H12-Assumptions!H13</f>
        <v>0</v>
      </c>
    </row>
    <row r="16" spans="1:9" ht="18" customHeight="1" thickBot="1" x14ac:dyDescent="0.3">
      <c r="A16" s="34" t="s">
        <v>50</v>
      </c>
      <c r="B16" s="34"/>
      <c r="C16" s="37"/>
      <c r="D16" s="34"/>
      <c r="E16" s="34"/>
      <c r="F16" s="34"/>
      <c r="G16" s="34"/>
      <c r="H16" s="34"/>
      <c r="I16" s="34"/>
    </row>
    <row r="17" spans="1:9" ht="15.75" customHeight="1" thickTop="1" thickBot="1" x14ac:dyDescent="0.3">
      <c r="A17" s="24"/>
      <c r="B17" s="38" t="s">
        <v>51</v>
      </c>
      <c r="C17" s="44"/>
      <c r="D17" s="50"/>
      <c r="E17" s="26"/>
      <c r="F17" s="26"/>
      <c r="G17" s="26"/>
      <c r="H17" s="26"/>
    </row>
    <row r="18" spans="1:9" ht="15.75" customHeight="1" thickTop="1" thickBot="1" x14ac:dyDescent="0.3">
      <c r="A18" s="21"/>
      <c r="B18" s="22" t="s">
        <v>52</v>
      </c>
      <c r="C18" s="48"/>
      <c r="D18" s="46"/>
      <c r="E18" s="51"/>
      <c r="F18" s="30"/>
      <c r="G18" s="30"/>
      <c r="H18" s="30"/>
    </row>
    <row r="19" spans="1:9" ht="15.75" customHeight="1" thickTop="1" thickBot="1" x14ac:dyDescent="0.3">
      <c r="A19" s="24"/>
      <c r="B19" s="25" t="s">
        <v>53</v>
      </c>
      <c r="C19" s="30"/>
      <c r="D19" s="48"/>
      <c r="E19" s="46"/>
      <c r="F19" s="51"/>
      <c r="G19" s="30"/>
      <c r="H19" s="30"/>
    </row>
    <row r="20" spans="1:9" ht="15.75" customHeight="1" thickTop="1" thickBot="1" x14ac:dyDescent="0.3">
      <c r="A20" s="21"/>
      <c r="B20" s="22" t="s">
        <v>54</v>
      </c>
      <c r="C20" s="30"/>
      <c r="D20" s="30"/>
      <c r="E20" s="48"/>
      <c r="F20" s="46"/>
      <c r="G20" s="51"/>
      <c r="H20" s="30"/>
    </row>
    <row r="21" spans="1:9" ht="15.75" customHeight="1" thickTop="1" thickBot="1" x14ac:dyDescent="0.3">
      <c r="A21" s="24"/>
      <c r="B21" s="25" t="s">
        <v>55</v>
      </c>
      <c r="C21" s="30"/>
      <c r="D21" s="30"/>
      <c r="E21" s="30"/>
      <c r="F21" s="48"/>
      <c r="G21" s="46"/>
      <c r="H21" s="51"/>
    </row>
    <row r="22" spans="1:9" ht="15.75" customHeight="1" thickTop="1" thickBot="1" x14ac:dyDescent="0.3">
      <c r="A22" s="21"/>
      <c r="B22" s="22" t="s">
        <v>56</v>
      </c>
      <c r="C22" s="30"/>
      <c r="D22" s="30"/>
      <c r="E22" s="30"/>
      <c r="F22" s="30"/>
      <c r="G22" s="48"/>
      <c r="H22" s="46"/>
    </row>
    <row r="23" spans="1:9" ht="15.75" thickTop="1" x14ac:dyDescent="0.25"/>
    <row r="24" spans="1:9" ht="18" customHeight="1" thickBot="1" x14ac:dyDescent="0.3">
      <c r="A24" s="34" t="s">
        <v>57</v>
      </c>
      <c r="B24" s="34"/>
      <c r="C24" s="37"/>
      <c r="D24" s="37"/>
      <c r="E24" s="37"/>
      <c r="F24" s="37"/>
      <c r="G24" s="37"/>
      <c r="H24" s="37"/>
      <c r="I24" s="34"/>
    </row>
    <row r="25" spans="1:9" ht="15.75" customHeight="1" thickTop="1" thickBot="1" x14ac:dyDescent="0.3">
      <c r="A25" s="24"/>
      <c r="B25" s="38" t="s">
        <v>58</v>
      </c>
      <c r="C25" s="46"/>
      <c r="D25" s="46"/>
      <c r="E25" s="46"/>
      <c r="F25" s="46"/>
      <c r="G25" s="46"/>
      <c r="H25" s="46"/>
    </row>
    <row r="26" spans="1:9" ht="15.75" customHeight="1" thickTop="1" thickBot="1" x14ac:dyDescent="0.3">
      <c r="A26" s="21"/>
      <c r="B26" s="35" t="s">
        <v>59</v>
      </c>
      <c r="C26" s="46"/>
      <c r="D26" s="46"/>
      <c r="E26" s="46"/>
      <c r="F26" s="46"/>
      <c r="G26" s="46"/>
      <c r="H26" s="46"/>
    </row>
    <row r="27" spans="1:9" ht="15.75" customHeight="1" thickTop="1" thickBot="1" x14ac:dyDescent="0.3">
      <c r="A27" s="24"/>
      <c r="B27" s="38" t="s">
        <v>60</v>
      </c>
      <c r="C27" s="46"/>
      <c r="D27" s="46"/>
      <c r="E27" s="46"/>
      <c r="F27" s="46"/>
      <c r="G27" s="46"/>
      <c r="H27" s="46"/>
    </row>
    <row r="28" spans="1:9" ht="15.75" customHeight="1" thickTop="1" thickBot="1" x14ac:dyDescent="0.3">
      <c r="A28" s="21"/>
      <c r="B28" s="35" t="s">
        <v>61</v>
      </c>
      <c r="C28" s="46"/>
      <c r="D28" s="46"/>
      <c r="E28" s="46"/>
      <c r="F28" s="46"/>
      <c r="G28" s="46"/>
      <c r="H28" s="46"/>
    </row>
    <row r="29" spans="1:9" ht="15.75" customHeight="1" thickTop="1" thickBot="1" x14ac:dyDescent="0.3">
      <c r="A29" s="24"/>
      <c r="B29" s="38" t="s">
        <v>62</v>
      </c>
      <c r="C29" s="46"/>
      <c r="D29" s="46"/>
      <c r="E29" s="46"/>
      <c r="F29" s="46"/>
      <c r="G29" s="46"/>
      <c r="H29" s="46"/>
    </row>
    <row r="30" spans="1:9" ht="15.75" customHeight="1" thickTop="1" thickBot="1" x14ac:dyDescent="0.3">
      <c r="A30" s="21"/>
      <c r="B30" s="35" t="s">
        <v>63</v>
      </c>
      <c r="C30" s="46"/>
      <c r="D30" s="46"/>
      <c r="E30" s="46"/>
      <c r="F30" s="46"/>
      <c r="G30" s="46"/>
      <c r="H30" s="46"/>
    </row>
    <row r="31" spans="1:9" ht="15.75" thickTop="1" x14ac:dyDescent="0.25"/>
    <row r="32" spans="1:9" ht="18" customHeight="1" thickBot="1" x14ac:dyDescent="0.3">
      <c r="A32" s="34" t="s">
        <v>64</v>
      </c>
      <c r="B32" s="34"/>
      <c r="C32" s="37"/>
      <c r="D32" s="37"/>
      <c r="E32" s="37"/>
      <c r="F32" s="37"/>
      <c r="G32" s="37"/>
      <c r="H32" s="37"/>
      <c r="I32" s="34"/>
    </row>
    <row r="33" spans="1:9" ht="15.75" customHeight="1" thickTop="1" thickBot="1" x14ac:dyDescent="0.3">
      <c r="A33" s="24"/>
      <c r="B33" s="38" t="s">
        <v>34</v>
      </c>
      <c r="C33" s="44"/>
      <c r="D33" s="44"/>
      <c r="E33" s="44"/>
      <c r="F33" s="44"/>
      <c r="G33" s="44"/>
      <c r="H33" s="44"/>
    </row>
    <row r="34" spans="1:9" ht="15.75" customHeight="1" thickTop="1" thickBot="1" x14ac:dyDescent="0.3">
      <c r="A34" s="21"/>
      <c r="B34" s="35" t="s">
        <v>65</v>
      </c>
      <c r="C34" s="44"/>
      <c r="D34" s="44"/>
      <c r="E34" s="44"/>
      <c r="F34" s="44"/>
      <c r="G34" s="44"/>
      <c r="H34" s="44"/>
    </row>
    <row r="35" spans="1:9" ht="15.75" customHeight="1" thickTop="1" thickBot="1" x14ac:dyDescent="0.3">
      <c r="A35" s="24"/>
      <c r="B35" s="38" t="s">
        <v>66</v>
      </c>
      <c r="C35" s="44"/>
      <c r="D35" s="44"/>
      <c r="E35" s="44"/>
      <c r="F35" s="44"/>
      <c r="G35" s="44"/>
      <c r="H35" s="44"/>
    </row>
    <row r="36" spans="1:9" ht="15.75" customHeight="1" thickTop="1" thickBot="1" x14ac:dyDescent="0.3">
      <c r="A36" s="21"/>
      <c r="B36" s="35" t="s">
        <v>37</v>
      </c>
      <c r="C36" s="44"/>
      <c r="D36" s="44"/>
      <c r="E36" s="44"/>
      <c r="F36" s="44"/>
      <c r="G36" s="44"/>
      <c r="H36" s="44"/>
    </row>
    <row r="37" spans="1:9" ht="15.75" customHeight="1" thickTop="1" thickBot="1" x14ac:dyDescent="0.3">
      <c r="A37" s="24"/>
      <c r="B37" s="38" t="s">
        <v>67</v>
      </c>
      <c r="C37" s="44"/>
      <c r="D37" s="44"/>
      <c r="E37" s="44"/>
      <c r="F37" s="44"/>
      <c r="G37" s="44"/>
      <c r="H37" s="44"/>
    </row>
    <row r="38" spans="1:9" ht="15.75" customHeight="1" thickTop="1" x14ac:dyDescent="0.25">
      <c r="A38" s="27"/>
      <c r="B38" s="28" t="s">
        <v>28</v>
      </c>
      <c r="C38" s="40">
        <f>SUM(Assumptions!C33:C37)</f>
        <v>0</v>
      </c>
      <c r="D38" s="40"/>
      <c r="E38" s="40"/>
      <c r="F38" s="40"/>
      <c r="G38" s="40"/>
      <c r="H38" s="40"/>
    </row>
    <row r="40" spans="1:9" ht="18" customHeight="1" thickBot="1" x14ac:dyDescent="0.3">
      <c r="A40" s="34" t="s">
        <v>68</v>
      </c>
      <c r="B40" s="34"/>
      <c r="C40" s="37"/>
      <c r="D40" s="34"/>
      <c r="E40" s="34"/>
      <c r="F40" s="34"/>
      <c r="G40" s="34"/>
      <c r="H40" s="34"/>
      <c r="I40" s="34"/>
    </row>
    <row r="41" spans="1:9" ht="15.75" customHeight="1" thickTop="1" thickBot="1" x14ac:dyDescent="0.3">
      <c r="A41" s="24"/>
      <c r="B41" s="38" t="s">
        <v>69</v>
      </c>
      <c r="C41" s="46"/>
      <c r="D41" s="49"/>
      <c r="E41" s="30"/>
      <c r="F41" s="30"/>
      <c r="G41" s="30"/>
      <c r="H41" s="30"/>
    </row>
    <row r="42" spans="1:9" ht="15.75" customHeight="1" thickTop="1" thickBot="1" x14ac:dyDescent="0.3">
      <c r="A42" s="21"/>
      <c r="B42" s="35" t="s">
        <v>70</v>
      </c>
      <c r="C42" s="46"/>
      <c r="D42" s="49"/>
      <c r="E42" s="30"/>
      <c r="F42" s="30"/>
      <c r="G42" s="30"/>
      <c r="H42" s="30"/>
    </row>
    <row r="43" spans="1:9" ht="15.75" customHeight="1" thickTop="1" thickBot="1" x14ac:dyDescent="0.3">
      <c r="A43" s="24"/>
      <c r="B43" s="38" t="s">
        <v>71</v>
      </c>
      <c r="C43" s="46"/>
      <c r="D43" s="49"/>
      <c r="E43" s="30"/>
      <c r="F43" s="30"/>
      <c r="G43" s="30"/>
      <c r="H43" s="30"/>
    </row>
    <row r="44" spans="1:9" ht="15.75" customHeight="1" thickTop="1" thickBot="1" x14ac:dyDescent="0.3">
      <c r="A44" s="21"/>
      <c r="B44" s="35" t="s">
        <v>72</v>
      </c>
      <c r="C44" s="46"/>
      <c r="D44" s="49"/>
      <c r="E44" s="30"/>
      <c r="F44" s="30"/>
      <c r="G44" s="30"/>
      <c r="H44" s="30"/>
    </row>
    <row r="45" spans="1:9" ht="15.75" customHeight="1" thickTop="1" thickBot="1" x14ac:dyDescent="0.3">
      <c r="A45" s="24"/>
      <c r="B45" s="38" t="s">
        <v>73</v>
      </c>
      <c r="C45" s="46"/>
      <c r="D45" s="49"/>
      <c r="E45" s="30"/>
      <c r="F45" s="30"/>
      <c r="G45" s="30"/>
      <c r="H45" s="30"/>
    </row>
    <row r="46" spans="1:9" ht="15.75" thickTop="1" x14ac:dyDescent="0.25"/>
    <row r="47" spans="1:9" ht="18" customHeight="1" thickBot="1" x14ac:dyDescent="0.3">
      <c r="A47" s="34" t="s">
        <v>74</v>
      </c>
      <c r="B47" s="34"/>
      <c r="C47" s="37"/>
      <c r="D47" s="34"/>
      <c r="E47" s="34"/>
      <c r="F47" s="34"/>
      <c r="G47" s="34"/>
      <c r="H47" s="34"/>
      <c r="I47" s="34"/>
    </row>
    <row r="48" spans="1:9" ht="15.75" customHeight="1" thickTop="1" thickBot="1" x14ac:dyDescent="0.3">
      <c r="A48" s="21"/>
      <c r="B48" s="35" t="s">
        <v>75</v>
      </c>
      <c r="C48" s="44"/>
      <c r="D48" s="47"/>
      <c r="E48" s="26"/>
      <c r="F48" s="26"/>
      <c r="G48" s="26"/>
      <c r="H48" s="26"/>
    </row>
    <row r="49" spans="1:9" ht="15.75" customHeight="1" thickTop="1" thickBot="1" x14ac:dyDescent="0.3">
      <c r="A49" s="24"/>
      <c r="B49" s="25" t="s">
        <v>76</v>
      </c>
      <c r="C49" s="52">
        <f>Assumptions!C35*0.01</f>
        <v>0</v>
      </c>
      <c r="D49" s="31"/>
      <c r="E49" s="31"/>
      <c r="F49" s="31"/>
      <c r="G49" s="31"/>
      <c r="H49" s="31"/>
    </row>
    <row r="50" spans="1:9" ht="15.75" customHeight="1" thickTop="1" thickBot="1" x14ac:dyDescent="0.3">
      <c r="A50" s="21"/>
      <c r="B50" s="35" t="s">
        <v>77</v>
      </c>
      <c r="C50" s="41"/>
      <c r="D50" s="36"/>
      <c r="E50" s="23"/>
      <c r="F50" s="23"/>
      <c r="G50" s="23"/>
      <c r="H50" s="23"/>
    </row>
    <row r="51" spans="1:9" ht="15.75" thickTop="1" x14ac:dyDescent="0.25"/>
    <row r="52" spans="1:9" ht="18" customHeight="1" thickBot="1" x14ac:dyDescent="0.3">
      <c r="A52" s="34" t="s">
        <v>78</v>
      </c>
      <c r="B52" s="34"/>
      <c r="C52" s="37"/>
      <c r="D52" s="34"/>
      <c r="E52" s="34"/>
      <c r="F52" s="34"/>
      <c r="G52" s="34"/>
      <c r="H52" s="34"/>
      <c r="I52" s="34"/>
    </row>
    <row r="53" spans="1:9" ht="15.75" customHeight="1" thickTop="1" thickBot="1" x14ac:dyDescent="0.3">
      <c r="A53" s="24"/>
      <c r="B53" s="38" t="s">
        <v>79</v>
      </c>
      <c r="C53" s="44"/>
      <c r="D53" s="47"/>
      <c r="E53" s="26"/>
      <c r="F53" s="26"/>
      <c r="G53" s="26"/>
      <c r="H53" s="26"/>
    </row>
    <row r="54" spans="1:9" ht="15.75" customHeight="1" thickTop="1" thickBot="1" x14ac:dyDescent="0.3">
      <c r="A54" s="21"/>
      <c r="B54" s="35" t="s">
        <v>80</v>
      </c>
      <c r="C54" s="44"/>
      <c r="D54" s="47"/>
      <c r="E54" s="26"/>
      <c r="F54" s="26"/>
      <c r="G54" s="26"/>
      <c r="H54" s="26"/>
    </row>
    <row r="55" spans="1:9" ht="15.75" customHeight="1" thickTop="1" x14ac:dyDescent="0.25">
      <c r="A55" s="27"/>
      <c r="B55" s="28" t="s">
        <v>81</v>
      </c>
      <c r="C55" s="40">
        <f>Assumptions!C53+Assumptions!C54</f>
        <v>0</v>
      </c>
      <c r="D55" s="29"/>
      <c r="E55" s="29"/>
      <c r="F55" s="29"/>
      <c r="G55" s="29"/>
      <c r="H55" s="29"/>
    </row>
    <row r="56" spans="1:9" ht="15.75" customHeight="1" x14ac:dyDescent="0.25">
      <c r="A56" s="27"/>
      <c r="B56" s="28" t="s">
        <v>82</v>
      </c>
      <c r="C56" s="29">
        <f>Assumptions!C14+Assumptions!C55</f>
        <v>0</v>
      </c>
      <c r="D56" s="29"/>
      <c r="E56" s="29"/>
      <c r="F56" s="29"/>
      <c r="G56" s="29"/>
      <c r="H56" s="29"/>
    </row>
    <row r="57" spans="1:9" ht="15.75" thickBot="1" x14ac:dyDescent="0.3"/>
    <row r="58" spans="1:9" ht="15" customHeight="1" thickTop="1" thickBot="1" x14ac:dyDescent="0.3">
      <c r="B58" s="1" t="s">
        <v>83</v>
      </c>
      <c r="C58" s="53"/>
    </row>
    <row r="59" spans="1:9" ht="15.75" thickTop="1" x14ac:dyDescent="0.25"/>
  </sheetData>
  <mergeCells count="10">
    <mergeCell ref="A1:I1"/>
    <mergeCell ref="A2:I2"/>
    <mergeCell ref="A3:I3"/>
    <mergeCell ref="A5:I5"/>
    <mergeCell ref="A16:I16"/>
    <mergeCell ref="A24:I24"/>
    <mergeCell ref="A32:I32"/>
    <mergeCell ref="A40:I40"/>
    <mergeCell ref="A47:I47"/>
    <mergeCell ref="A52:I52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6278"/>
  </sheetPr>
  <dimension ref="A1:H32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2" style="1" customWidth="1"/>
    <col min="2" max="2" width="38" style="1" customWidth="1"/>
    <col min="3" max="8" width="14" style="1" customWidth="1"/>
    <col min="9" max="16384" width="8.7109375" style="1"/>
  </cols>
  <sheetData>
    <row r="1" spans="1:8" ht="36" customHeight="1" x14ac:dyDescent="0.25">
      <c r="A1" s="64" t="s">
        <v>84</v>
      </c>
      <c r="B1" s="64"/>
      <c r="C1" s="64"/>
      <c r="D1" s="64"/>
      <c r="E1" s="64"/>
      <c r="F1" s="64"/>
      <c r="G1" s="64"/>
      <c r="H1" s="64"/>
    </row>
    <row r="2" spans="1:8" ht="6" customHeight="1" x14ac:dyDescent="0.25">
      <c r="A2" s="20"/>
      <c r="B2" s="20"/>
      <c r="C2" s="20"/>
      <c r="D2" s="20"/>
      <c r="E2" s="20"/>
      <c r="F2" s="20"/>
      <c r="G2" s="20"/>
      <c r="H2" s="20"/>
    </row>
    <row r="3" spans="1:8" ht="12" customHeight="1" x14ac:dyDescent="0.25">
      <c r="A3" s="7"/>
      <c r="B3" s="7"/>
      <c r="C3" s="7"/>
      <c r="D3" s="7"/>
      <c r="E3" s="7"/>
      <c r="F3" s="7"/>
      <c r="G3" s="7"/>
      <c r="H3" s="7"/>
    </row>
    <row r="4" spans="1:8" ht="21.75" customHeight="1" x14ac:dyDescent="0.25">
      <c r="B4" s="33"/>
      <c r="C4" s="33" t="s">
        <v>12</v>
      </c>
      <c r="D4" s="33" t="s">
        <v>13</v>
      </c>
      <c r="E4" s="33" t="s">
        <v>14</v>
      </c>
      <c r="F4" s="33" t="s">
        <v>15</v>
      </c>
      <c r="G4" s="33" t="s">
        <v>16</v>
      </c>
      <c r="H4" s="33" t="s">
        <v>17</v>
      </c>
    </row>
    <row r="5" spans="1:8" ht="18" customHeight="1" x14ac:dyDescent="0.25">
      <c r="A5" s="34" t="s">
        <v>85</v>
      </c>
      <c r="B5" s="34"/>
      <c r="C5" s="34"/>
      <c r="D5" s="34"/>
      <c r="E5" s="34"/>
      <c r="F5" s="34"/>
      <c r="G5" s="34"/>
      <c r="H5" s="34"/>
    </row>
    <row r="6" spans="1:8" ht="15.75" customHeight="1" x14ac:dyDescent="0.25">
      <c r="A6" s="21"/>
      <c r="B6" s="22" t="s">
        <v>86</v>
      </c>
      <c r="C6" s="54">
        <f>Assumptions!C17</f>
        <v>0</v>
      </c>
      <c r="D6" s="54">
        <f>C6*(1+Assumptions!D18)</f>
        <v>0</v>
      </c>
      <c r="E6" s="54">
        <f>D6*(1+Assumptions!E19)</f>
        <v>0</v>
      </c>
      <c r="F6" s="54">
        <f>E6*(1+Assumptions!F20)</f>
        <v>0</v>
      </c>
      <c r="G6" s="54">
        <f>F6*(1+Assumptions!G21)</f>
        <v>0</v>
      </c>
      <c r="H6" s="54">
        <f>G6*(1+Assumptions!H22)</f>
        <v>0</v>
      </c>
    </row>
    <row r="7" spans="1:8" ht="15.75" customHeight="1" x14ac:dyDescent="0.25">
      <c r="A7" s="24"/>
      <c r="B7" s="55" t="s">
        <v>87</v>
      </c>
      <c r="C7" s="56" t="s">
        <v>88</v>
      </c>
      <c r="D7" s="56" t="str">
        <f>IF(C6=0,"-",(D6-C6)/C6)</f>
        <v>-</v>
      </c>
      <c r="E7" s="56" t="str">
        <f>IF(D6=0,"-",(E6-D6)/D6)</f>
        <v>-</v>
      </c>
      <c r="F7" s="56" t="str">
        <f>IF(E6=0,"-",(F6-E6)/E6)</f>
        <v>-</v>
      </c>
      <c r="G7" s="56" t="str">
        <f>IF(F6=0,"-",(G6-F6)/F6)</f>
        <v>-</v>
      </c>
      <c r="H7" s="56" t="str">
        <f>IF(G6=0,"-",(H6-G6)/G6)</f>
        <v>-</v>
      </c>
    </row>
    <row r="9" spans="1:8" ht="18" customHeight="1" x14ac:dyDescent="0.25">
      <c r="A9" s="34" t="s">
        <v>89</v>
      </c>
      <c r="B9" s="34"/>
      <c r="C9" s="34"/>
      <c r="D9" s="34"/>
      <c r="E9" s="34"/>
      <c r="F9" s="34"/>
      <c r="G9" s="34"/>
      <c r="H9" s="34"/>
    </row>
    <row r="10" spans="1:8" ht="15.75" customHeight="1" x14ac:dyDescent="0.25">
      <c r="A10" s="21"/>
      <c r="B10" s="22" t="s">
        <v>90</v>
      </c>
      <c r="C10" s="54">
        <f>-(1-Assumptions!C25)*C6</f>
        <v>0</v>
      </c>
      <c r="D10" s="54">
        <f>-(1-Assumptions!D25)*D6</f>
        <v>0</v>
      </c>
      <c r="E10" s="54">
        <f>-(1-Assumptions!E25)*E6</f>
        <v>0</v>
      </c>
      <c r="F10" s="54">
        <f>-(1-Assumptions!F25)*F6</f>
        <v>0</v>
      </c>
      <c r="G10" s="54">
        <f>-(1-Assumptions!G25)*G6</f>
        <v>0</v>
      </c>
      <c r="H10" s="54">
        <f>-(1-Assumptions!H25)*H6</f>
        <v>0</v>
      </c>
    </row>
    <row r="11" spans="1:8" ht="15.75" customHeight="1" x14ac:dyDescent="0.25">
      <c r="A11" s="27"/>
      <c r="B11" s="28" t="s">
        <v>20</v>
      </c>
      <c r="C11" s="29">
        <f t="shared" ref="C11:H11" si="0">C6+C10</f>
        <v>0</v>
      </c>
      <c r="D11" s="29">
        <f t="shared" si="0"/>
        <v>0</v>
      </c>
      <c r="E11" s="29">
        <f t="shared" si="0"/>
        <v>0</v>
      </c>
      <c r="F11" s="29">
        <f t="shared" si="0"/>
        <v>0</v>
      </c>
      <c r="G11" s="29">
        <f t="shared" si="0"/>
        <v>0</v>
      </c>
      <c r="H11" s="29">
        <f t="shared" si="0"/>
        <v>0</v>
      </c>
    </row>
    <row r="12" spans="1:8" ht="15.75" customHeight="1" x14ac:dyDescent="0.25">
      <c r="A12" s="21"/>
      <c r="B12" s="57" t="s">
        <v>91</v>
      </c>
      <c r="C12" s="58" t="str">
        <f t="shared" ref="C12:H12" si="1">IF(C6=0,"-",C11/C6)</f>
        <v>-</v>
      </c>
      <c r="D12" s="58" t="str">
        <f t="shared" si="1"/>
        <v>-</v>
      </c>
      <c r="E12" s="58" t="str">
        <f t="shared" si="1"/>
        <v>-</v>
      </c>
      <c r="F12" s="58" t="str">
        <f t="shared" si="1"/>
        <v>-</v>
      </c>
      <c r="G12" s="58" t="str">
        <f t="shared" si="1"/>
        <v>-</v>
      </c>
      <c r="H12" s="58" t="str">
        <f t="shared" si="1"/>
        <v>-</v>
      </c>
    </row>
    <row r="14" spans="1:8" ht="18" customHeight="1" x14ac:dyDescent="0.25">
      <c r="A14" s="34" t="s">
        <v>92</v>
      </c>
      <c r="B14" s="34"/>
      <c r="C14" s="34"/>
      <c r="D14" s="34"/>
      <c r="E14" s="34"/>
      <c r="F14" s="34"/>
      <c r="G14" s="34"/>
      <c r="H14" s="34"/>
    </row>
    <row r="15" spans="1:8" ht="15.75" customHeight="1" x14ac:dyDescent="0.25">
      <c r="A15" s="24"/>
      <c r="B15" s="25" t="s">
        <v>93</v>
      </c>
      <c r="C15" s="31">
        <f t="shared" ref="C15:H15" si="2">-0.08*C6</f>
        <v>0</v>
      </c>
      <c r="D15" s="31">
        <f t="shared" si="2"/>
        <v>0</v>
      </c>
      <c r="E15" s="31">
        <f t="shared" si="2"/>
        <v>0</v>
      </c>
      <c r="F15" s="31">
        <f t="shared" si="2"/>
        <v>0</v>
      </c>
      <c r="G15" s="31">
        <f t="shared" si="2"/>
        <v>0</v>
      </c>
      <c r="H15" s="31">
        <f t="shared" si="2"/>
        <v>0</v>
      </c>
    </row>
    <row r="16" spans="1:8" ht="15.75" customHeight="1" x14ac:dyDescent="0.25">
      <c r="A16" s="21"/>
      <c r="B16" s="22" t="s">
        <v>94</v>
      </c>
      <c r="C16" s="54">
        <f t="shared" ref="C16:H16" si="3">-0.05*C6</f>
        <v>0</v>
      </c>
      <c r="D16" s="54">
        <f t="shared" si="3"/>
        <v>0</v>
      </c>
      <c r="E16" s="54">
        <f t="shared" si="3"/>
        <v>0</v>
      </c>
      <c r="F16" s="54">
        <f t="shared" si="3"/>
        <v>0</v>
      </c>
      <c r="G16" s="54">
        <f t="shared" si="3"/>
        <v>0</v>
      </c>
      <c r="H16" s="54">
        <f t="shared" si="3"/>
        <v>0</v>
      </c>
    </row>
    <row r="17" spans="1:8" ht="15.75" customHeight="1" x14ac:dyDescent="0.25">
      <c r="A17" s="24"/>
      <c r="B17" s="25" t="s">
        <v>95</v>
      </c>
      <c r="C17" s="31">
        <f t="shared" ref="C17:H17" si="4">-0.03*C6</f>
        <v>0</v>
      </c>
      <c r="D17" s="31">
        <f t="shared" si="4"/>
        <v>0</v>
      </c>
      <c r="E17" s="31">
        <f t="shared" si="4"/>
        <v>0</v>
      </c>
      <c r="F17" s="31">
        <f t="shared" si="4"/>
        <v>0</v>
      </c>
      <c r="G17" s="31">
        <f t="shared" si="4"/>
        <v>0</v>
      </c>
      <c r="H17" s="31">
        <f t="shared" si="4"/>
        <v>0</v>
      </c>
    </row>
    <row r="18" spans="1:8" ht="15.75" customHeight="1" x14ac:dyDescent="0.25">
      <c r="A18" s="59"/>
      <c r="B18" s="60" t="s">
        <v>96</v>
      </c>
      <c r="C18" s="61">
        <f t="shared" ref="C18:H18" si="5">SUM(C15:C17)</f>
        <v>0</v>
      </c>
      <c r="D18" s="61">
        <f t="shared" si="5"/>
        <v>0</v>
      </c>
      <c r="E18" s="61">
        <f t="shared" si="5"/>
        <v>0</v>
      </c>
      <c r="F18" s="61">
        <f t="shared" si="5"/>
        <v>0</v>
      </c>
      <c r="G18" s="61">
        <f t="shared" si="5"/>
        <v>0</v>
      </c>
      <c r="H18" s="61">
        <f t="shared" si="5"/>
        <v>0</v>
      </c>
    </row>
    <row r="20" spans="1:8" ht="18" customHeight="1" x14ac:dyDescent="0.25">
      <c r="A20" s="34" t="s">
        <v>97</v>
      </c>
      <c r="B20" s="34"/>
      <c r="C20" s="34"/>
      <c r="D20" s="34"/>
      <c r="E20" s="34"/>
      <c r="F20" s="34"/>
      <c r="G20" s="34"/>
      <c r="H20" s="34"/>
    </row>
    <row r="21" spans="1:8" ht="15.75" customHeight="1" x14ac:dyDescent="0.25">
      <c r="A21" s="27"/>
      <c r="B21" s="28" t="s">
        <v>22</v>
      </c>
      <c r="C21" s="62">
        <f>Assumptions!C26*C6</f>
        <v>0</v>
      </c>
      <c r="D21" s="62">
        <f>Assumptions!D26*D6</f>
        <v>0</v>
      </c>
      <c r="E21" s="62">
        <f>Assumptions!E26*E6</f>
        <v>0</v>
      </c>
      <c r="F21" s="62">
        <f>Assumptions!F26*F6</f>
        <v>0</v>
      </c>
      <c r="G21" s="62">
        <f>Assumptions!G26*G6</f>
        <v>0</v>
      </c>
      <c r="H21" s="62">
        <f>Assumptions!H26*H6</f>
        <v>0</v>
      </c>
    </row>
    <row r="22" spans="1:8" ht="15.75" customHeight="1" x14ac:dyDescent="0.25">
      <c r="A22" s="21"/>
      <c r="B22" s="57" t="s">
        <v>98</v>
      </c>
      <c r="C22" s="58" t="str">
        <f t="shared" ref="C22:H22" si="6">IF(C6=0,"-",C21/C6)</f>
        <v>-</v>
      </c>
      <c r="D22" s="58" t="str">
        <f t="shared" si="6"/>
        <v>-</v>
      </c>
      <c r="E22" s="58" t="str">
        <f t="shared" si="6"/>
        <v>-</v>
      </c>
      <c r="F22" s="58" t="str">
        <f t="shared" si="6"/>
        <v>-</v>
      </c>
      <c r="G22" s="58" t="str">
        <f t="shared" si="6"/>
        <v>-</v>
      </c>
      <c r="H22" s="58" t="str">
        <f t="shared" si="6"/>
        <v>-</v>
      </c>
    </row>
    <row r="23" spans="1:8" ht="15.75" customHeight="1" x14ac:dyDescent="0.25">
      <c r="A23" s="24"/>
      <c r="B23" s="25" t="s">
        <v>99</v>
      </c>
      <c r="C23" s="31">
        <f>-Assumptions!C27*C6</f>
        <v>0</v>
      </c>
      <c r="D23" s="31">
        <f>-Assumptions!D27*D6</f>
        <v>0</v>
      </c>
      <c r="E23" s="31">
        <f>-Assumptions!E27*E6</f>
        <v>0</v>
      </c>
      <c r="F23" s="31">
        <f>-Assumptions!F27*F6</f>
        <v>0</v>
      </c>
      <c r="G23" s="31">
        <f>-Assumptions!G27*G6</f>
        <v>0</v>
      </c>
      <c r="H23" s="31">
        <f>-Assumptions!H27*H6</f>
        <v>0</v>
      </c>
    </row>
    <row r="24" spans="1:8" ht="15.75" customHeight="1" x14ac:dyDescent="0.25">
      <c r="A24" s="59"/>
      <c r="B24" s="60" t="s">
        <v>100</v>
      </c>
      <c r="C24" s="61">
        <f t="shared" ref="C24:H24" si="7">C21+C23</f>
        <v>0</v>
      </c>
      <c r="D24" s="61">
        <f t="shared" si="7"/>
        <v>0</v>
      </c>
      <c r="E24" s="61">
        <f t="shared" si="7"/>
        <v>0</v>
      </c>
      <c r="F24" s="61">
        <f t="shared" si="7"/>
        <v>0</v>
      </c>
      <c r="G24" s="61">
        <f t="shared" si="7"/>
        <v>0</v>
      </c>
      <c r="H24" s="61">
        <f t="shared" si="7"/>
        <v>0</v>
      </c>
    </row>
    <row r="25" spans="1:8" ht="15.75" customHeight="1" x14ac:dyDescent="0.25">
      <c r="A25" s="24"/>
      <c r="B25" s="55" t="s">
        <v>101</v>
      </c>
      <c r="C25" s="56" t="str">
        <f t="shared" ref="C25:H25" si="8">IF(C6=0,"-",C24/C6)</f>
        <v>-</v>
      </c>
      <c r="D25" s="56" t="str">
        <f t="shared" si="8"/>
        <v>-</v>
      </c>
      <c r="E25" s="56" t="str">
        <f t="shared" si="8"/>
        <v>-</v>
      </c>
      <c r="F25" s="56" t="str">
        <f t="shared" si="8"/>
        <v>-</v>
      </c>
      <c r="G25" s="56" t="str">
        <f t="shared" si="8"/>
        <v>-</v>
      </c>
      <c r="H25" s="56" t="str">
        <f t="shared" si="8"/>
        <v>-</v>
      </c>
    </row>
    <row r="27" spans="1:8" ht="18" customHeight="1" x14ac:dyDescent="0.25">
      <c r="A27" s="34" t="s">
        <v>102</v>
      </c>
      <c r="B27" s="34"/>
      <c r="C27" s="34"/>
      <c r="D27" s="34"/>
      <c r="E27" s="34"/>
      <c r="F27" s="34"/>
      <c r="G27" s="34"/>
      <c r="H27" s="34"/>
    </row>
    <row r="28" spans="1:8" ht="15.75" customHeight="1" x14ac:dyDescent="0.25">
      <c r="A28" s="21"/>
      <c r="B28" s="22" t="s">
        <v>103</v>
      </c>
      <c r="C28" s="63">
        <f>'Debt Schedule'!C26</f>
        <v>0</v>
      </c>
      <c r="D28" s="63">
        <f>'Debt Schedule'!D26</f>
        <v>0</v>
      </c>
      <c r="E28" s="63">
        <f>'Debt Schedule'!E26</f>
        <v>0</v>
      </c>
      <c r="F28" s="63">
        <f>'Debt Schedule'!F26</f>
        <v>0</v>
      </c>
      <c r="G28" s="63">
        <f>'Debt Schedule'!G26</f>
        <v>0</v>
      </c>
      <c r="H28" s="63">
        <f>'Debt Schedule'!H26</f>
        <v>0</v>
      </c>
    </row>
    <row r="29" spans="1:8" ht="15.75" customHeight="1" x14ac:dyDescent="0.25">
      <c r="A29" s="59"/>
      <c r="B29" s="60" t="s">
        <v>104</v>
      </c>
      <c r="C29" s="61">
        <f t="shared" ref="C29:H29" si="9">C24+C28</f>
        <v>0</v>
      </c>
      <c r="D29" s="61">
        <f t="shared" si="9"/>
        <v>0</v>
      </c>
      <c r="E29" s="61">
        <f t="shared" si="9"/>
        <v>0</v>
      </c>
      <c r="F29" s="61">
        <f t="shared" si="9"/>
        <v>0</v>
      </c>
      <c r="G29" s="61">
        <f t="shared" si="9"/>
        <v>0</v>
      </c>
      <c r="H29" s="61">
        <f t="shared" si="9"/>
        <v>0</v>
      </c>
    </row>
    <row r="30" spans="1:8" ht="15.75" customHeight="1" x14ac:dyDescent="0.25">
      <c r="A30" s="21"/>
      <c r="B30" s="22" t="s">
        <v>105</v>
      </c>
      <c r="C30" s="54">
        <f>IF(C29&gt;0,-Assumptions!C30*C29,0)</f>
        <v>0</v>
      </c>
      <c r="D30" s="54">
        <f>IF(D29&gt;0,-Assumptions!D30*D29,0)</f>
        <v>0</v>
      </c>
      <c r="E30" s="54">
        <f>IF(E29&gt;0,-Assumptions!E30*E29,0)</f>
        <v>0</v>
      </c>
      <c r="F30" s="54">
        <f>IF(F29&gt;0,-Assumptions!F30*F29,0)</f>
        <v>0</v>
      </c>
      <c r="G30" s="54">
        <f>IF(G29&gt;0,-Assumptions!G30*G29,0)</f>
        <v>0</v>
      </c>
      <c r="H30" s="54">
        <f>IF(H29&gt;0,-Assumptions!H30*H29,0)</f>
        <v>0</v>
      </c>
    </row>
    <row r="31" spans="1:8" ht="15.75" customHeight="1" x14ac:dyDescent="0.25">
      <c r="A31" s="27"/>
      <c r="B31" s="28" t="s">
        <v>25</v>
      </c>
      <c r="C31" s="29">
        <f t="shared" ref="C31:H31" si="10">C29+C30</f>
        <v>0</v>
      </c>
      <c r="D31" s="29">
        <f t="shared" si="10"/>
        <v>0</v>
      </c>
      <c r="E31" s="29">
        <f t="shared" si="10"/>
        <v>0</v>
      </c>
      <c r="F31" s="29">
        <f t="shared" si="10"/>
        <v>0</v>
      </c>
      <c r="G31" s="29">
        <f t="shared" si="10"/>
        <v>0</v>
      </c>
      <c r="H31" s="29">
        <f t="shared" si="10"/>
        <v>0</v>
      </c>
    </row>
    <row r="32" spans="1:8" ht="15.75" customHeight="1" x14ac:dyDescent="0.25">
      <c r="A32" s="21"/>
      <c r="B32" s="57" t="s">
        <v>106</v>
      </c>
      <c r="C32" s="58" t="str">
        <f t="shared" ref="C32:H32" si="11">IF(C6=0,"-",C31/C6)</f>
        <v>-</v>
      </c>
      <c r="D32" s="58" t="str">
        <f t="shared" si="11"/>
        <v>-</v>
      </c>
      <c r="E32" s="58" t="str">
        <f t="shared" si="11"/>
        <v>-</v>
      </c>
      <c r="F32" s="58" t="str">
        <f t="shared" si="11"/>
        <v>-</v>
      </c>
      <c r="G32" s="58" t="str">
        <f t="shared" si="11"/>
        <v>-</v>
      </c>
      <c r="H32" s="58" t="str">
        <f t="shared" si="11"/>
        <v>-</v>
      </c>
    </row>
  </sheetData>
  <mergeCells count="8">
    <mergeCell ref="A14:H14"/>
    <mergeCell ref="A20:H20"/>
    <mergeCell ref="A27:H27"/>
    <mergeCell ref="A1:H1"/>
    <mergeCell ref="A2:H2"/>
    <mergeCell ref="A3:H3"/>
    <mergeCell ref="A5:H5"/>
    <mergeCell ref="A9:H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D8AA8"/>
  </sheetPr>
  <dimension ref="A1:H31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2" style="1" customWidth="1"/>
    <col min="2" max="2" width="40" style="1" customWidth="1"/>
    <col min="3" max="8" width="14" style="1" customWidth="1"/>
    <col min="9" max="16384" width="8.7109375" style="1"/>
  </cols>
  <sheetData>
    <row r="1" spans="1:8" ht="36" customHeight="1" x14ac:dyDescent="0.25">
      <c r="A1" s="64" t="s">
        <v>107</v>
      </c>
      <c r="B1" s="64"/>
      <c r="C1" s="64"/>
      <c r="D1" s="64"/>
      <c r="E1" s="64"/>
      <c r="F1" s="64"/>
      <c r="G1" s="64"/>
      <c r="H1" s="64"/>
    </row>
    <row r="2" spans="1:8" ht="6" customHeight="1" x14ac:dyDescent="0.25">
      <c r="A2" s="20"/>
      <c r="B2" s="20"/>
      <c r="C2" s="20"/>
      <c r="D2" s="20"/>
      <c r="E2" s="20"/>
      <c r="F2" s="20"/>
      <c r="G2" s="20"/>
      <c r="H2" s="20"/>
    </row>
    <row r="3" spans="1:8" ht="12" customHeight="1" x14ac:dyDescent="0.25">
      <c r="A3" s="7"/>
      <c r="B3" s="7"/>
      <c r="C3" s="7"/>
      <c r="D3" s="7"/>
      <c r="E3" s="7"/>
      <c r="F3" s="7"/>
      <c r="G3" s="7"/>
      <c r="H3" s="7"/>
    </row>
    <row r="4" spans="1:8" ht="21.75" customHeight="1" x14ac:dyDescent="0.25">
      <c r="B4" s="33"/>
      <c r="C4" s="33" t="s">
        <v>12</v>
      </c>
      <c r="D4" s="33" t="s">
        <v>13</v>
      </c>
      <c r="E4" s="33" t="s">
        <v>14</v>
      </c>
      <c r="F4" s="33" t="s">
        <v>15</v>
      </c>
      <c r="G4" s="33" t="s">
        <v>16</v>
      </c>
      <c r="H4" s="33" t="s">
        <v>17</v>
      </c>
    </row>
    <row r="5" spans="1:8" ht="18" customHeight="1" x14ac:dyDescent="0.25">
      <c r="A5" s="34" t="s">
        <v>108</v>
      </c>
      <c r="B5" s="34"/>
      <c r="C5" s="34"/>
      <c r="D5" s="34"/>
      <c r="E5" s="34"/>
      <c r="F5" s="34"/>
      <c r="G5" s="34"/>
      <c r="H5" s="34"/>
    </row>
    <row r="6" spans="1:8" ht="15.75" customHeight="1" x14ac:dyDescent="0.25">
      <c r="A6" s="21"/>
      <c r="B6" s="22" t="s">
        <v>109</v>
      </c>
      <c r="C6" s="54">
        <f>Assumptions!C33</f>
        <v>0</v>
      </c>
      <c r="D6" s="54">
        <f>C7</f>
        <v>0</v>
      </c>
      <c r="E6" s="54">
        <f>D7</f>
        <v>0</v>
      </c>
      <c r="F6" s="54">
        <f>E7</f>
        <v>0</v>
      </c>
      <c r="G6" s="54">
        <f>F7</f>
        <v>0</v>
      </c>
      <c r="H6" s="54">
        <f>G7</f>
        <v>0</v>
      </c>
    </row>
    <row r="7" spans="1:8" ht="15.75" customHeight="1" x14ac:dyDescent="0.25">
      <c r="A7" s="24"/>
      <c r="B7" s="25" t="s">
        <v>110</v>
      </c>
      <c r="C7" s="31">
        <f t="shared" ref="C7:H7" si="0">C6</f>
        <v>0</v>
      </c>
      <c r="D7" s="31">
        <f t="shared" si="0"/>
        <v>0</v>
      </c>
      <c r="E7" s="31">
        <f t="shared" si="0"/>
        <v>0</v>
      </c>
      <c r="F7" s="31">
        <f t="shared" si="0"/>
        <v>0</v>
      </c>
      <c r="G7" s="31">
        <f t="shared" si="0"/>
        <v>0</v>
      </c>
      <c r="H7" s="31">
        <f t="shared" si="0"/>
        <v>0</v>
      </c>
    </row>
    <row r="8" spans="1:8" ht="15.75" customHeight="1" x14ac:dyDescent="0.25">
      <c r="A8" s="21"/>
      <c r="B8" s="22" t="s">
        <v>103</v>
      </c>
      <c r="C8" s="54">
        <f>-(C6+C7)/2*Assumptions!C41</f>
        <v>0</v>
      </c>
      <c r="D8" s="54">
        <f>-(D6+D7)/2*Assumptions!C41</f>
        <v>0</v>
      </c>
      <c r="E8" s="54">
        <f>-(E6+E7)/2*Assumptions!C41</f>
        <v>0</v>
      </c>
      <c r="F8" s="54">
        <f>-(F6+F7)/2*Assumptions!C41</f>
        <v>0</v>
      </c>
      <c r="G8" s="54">
        <f>-(G6+G7)/2*Assumptions!C41</f>
        <v>0</v>
      </c>
      <c r="H8" s="54">
        <f>-(H6+H7)/2*Assumptions!C41</f>
        <v>0</v>
      </c>
    </row>
    <row r="10" spans="1:8" ht="18" customHeight="1" x14ac:dyDescent="0.25">
      <c r="A10" s="34" t="s">
        <v>111</v>
      </c>
      <c r="B10" s="34"/>
      <c r="C10" s="34"/>
      <c r="D10" s="34"/>
      <c r="E10" s="34"/>
      <c r="F10" s="34"/>
      <c r="G10" s="34"/>
      <c r="H10" s="34"/>
    </row>
    <row r="11" spans="1:8" ht="15.75" customHeight="1" x14ac:dyDescent="0.25">
      <c r="A11" s="24"/>
      <c r="B11" s="25" t="s">
        <v>109</v>
      </c>
      <c r="C11" s="31">
        <f>Assumptions!C34</f>
        <v>0</v>
      </c>
      <c r="D11" s="31">
        <f>C13</f>
        <v>0</v>
      </c>
      <c r="E11" s="31">
        <f>D13</f>
        <v>0</v>
      </c>
      <c r="F11" s="31">
        <f>E13</f>
        <v>0</v>
      </c>
      <c r="G11" s="31">
        <f>F13</f>
        <v>0</v>
      </c>
      <c r="H11" s="31">
        <f>G13</f>
        <v>0</v>
      </c>
    </row>
    <row r="12" spans="1:8" ht="15.75" customHeight="1" x14ac:dyDescent="0.25">
      <c r="A12" s="21"/>
      <c r="B12" s="22" t="s">
        <v>112</v>
      </c>
      <c r="C12" s="63">
        <f>-MIN(Assumptions!C48,MAX(0,C11))</f>
        <v>0</v>
      </c>
      <c r="D12" s="63">
        <f>-MIN(Assumptions!C48,MAX(0,D11))</f>
        <v>0</v>
      </c>
      <c r="E12" s="63">
        <f>-MIN(Assumptions!C48,MAX(0,E11))</f>
        <v>0</v>
      </c>
      <c r="F12" s="63">
        <f>-MIN(Assumptions!C48,MAX(0,F11))</f>
        <v>0</v>
      </c>
      <c r="G12" s="63">
        <f>-MIN(Assumptions!C48,MAX(0,G11))</f>
        <v>0</v>
      </c>
      <c r="H12" s="63">
        <f>-MIN(Assumptions!C48,MAX(0,H11))</f>
        <v>0</v>
      </c>
    </row>
    <row r="13" spans="1:8" ht="15.75" customHeight="1" x14ac:dyDescent="0.25">
      <c r="A13" s="24"/>
      <c r="B13" s="25" t="s">
        <v>110</v>
      </c>
      <c r="C13" s="31">
        <f t="shared" ref="C13:H13" si="1">C11+C12</f>
        <v>0</v>
      </c>
      <c r="D13" s="31">
        <f t="shared" si="1"/>
        <v>0</v>
      </c>
      <c r="E13" s="31">
        <f t="shared" si="1"/>
        <v>0</v>
      </c>
      <c r="F13" s="31">
        <f t="shared" si="1"/>
        <v>0</v>
      </c>
      <c r="G13" s="31">
        <f t="shared" si="1"/>
        <v>0</v>
      </c>
      <c r="H13" s="31">
        <f t="shared" si="1"/>
        <v>0</v>
      </c>
    </row>
    <row r="14" spans="1:8" ht="15.75" customHeight="1" x14ac:dyDescent="0.25">
      <c r="A14" s="21"/>
      <c r="B14" s="22" t="s">
        <v>103</v>
      </c>
      <c r="C14" s="54">
        <f>-(C11+C13)/2*Assumptions!C42</f>
        <v>0</v>
      </c>
      <c r="D14" s="54">
        <f>-(D11+D13)/2*Assumptions!C42</f>
        <v>0</v>
      </c>
      <c r="E14" s="54">
        <f>-(E11+E13)/2*Assumptions!C42</f>
        <v>0</v>
      </c>
      <c r="F14" s="54">
        <f>-(F11+F13)/2*Assumptions!C42</f>
        <v>0</v>
      </c>
      <c r="G14" s="54">
        <f>-(G11+G13)/2*Assumptions!C42</f>
        <v>0</v>
      </c>
      <c r="H14" s="54">
        <f>-(H11+H13)/2*Assumptions!C42</f>
        <v>0</v>
      </c>
    </row>
    <row r="16" spans="1:8" ht="18" customHeight="1" x14ac:dyDescent="0.25">
      <c r="A16" s="34" t="s">
        <v>113</v>
      </c>
      <c r="B16" s="34"/>
      <c r="C16" s="34"/>
      <c r="D16" s="34"/>
      <c r="E16" s="34"/>
      <c r="F16" s="34"/>
      <c r="G16" s="34"/>
      <c r="H16" s="34"/>
    </row>
    <row r="17" spans="1:8" ht="15.75" customHeight="1" x14ac:dyDescent="0.25">
      <c r="A17" s="24"/>
      <c r="B17" s="25" t="s">
        <v>109</v>
      </c>
      <c r="C17" s="31">
        <f>Assumptions!C35</f>
        <v>0</v>
      </c>
      <c r="D17" s="31">
        <f>C20</f>
        <v>0</v>
      </c>
      <c r="E17" s="31">
        <f>D20</f>
        <v>0</v>
      </c>
      <c r="F17" s="31">
        <f>E20</f>
        <v>0</v>
      </c>
      <c r="G17" s="31">
        <f>F20</f>
        <v>0</v>
      </c>
      <c r="H17" s="31">
        <f>G20</f>
        <v>0</v>
      </c>
    </row>
    <row r="18" spans="1:8" ht="15.75" customHeight="1" x14ac:dyDescent="0.25">
      <c r="A18" s="21"/>
      <c r="B18" s="22" t="s">
        <v>112</v>
      </c>
      <c r="C18" s="63">
        <f>-MIN(Assumptions!C49,MAX(0,C17))</f>
        <v>0</v>
      </c>
      <c r="D18" s="63">
        <f>-MIN(Assumptions!C49,MAX(0,D17))</f>
        <v>0</v>
      </c>
      <c r="E18" s="63">
        <f>-MIN(Assumptions!C49,MAX(0,E17))</f>
        <v>0</v>
      </c>
      <c r="F18" s="63">
        <f>-MIN(Assumptions!C49,MAX(0,F17))</f>
        <v>0</v>
      </c>
      <c r="G18" s="63">
        <f>-MIN(Assumptions!C49,MAX(0,G17))</f>
        <v>0</v>
      </c>
      <c r="H18" s="63">
        <f>-MIN(Assumptions!C49,MAX(0,H17))</f>
        <v>0</v>
      </c>
    </row>
    <row r="19" spans="1:8" ht="15.75" customHeight="1" x14ac:dyDescent="0.25">
      <c r="B19" s="1" t="s">
        <v>114</v>
      </c>
      <c r="C19" s="65">
        <f>-MIN(MAX(0,'Cash Flow Statement'!C22+C12+C18),MAX(0,C17+C18))</f>
        <v>0</v>
      </c>
      <c r="D19" s="65">
        <f>-MIN(MAX(0,'Cash Flow Statement'!D22+D12+D18),MAX(0,D17+D18))</f>
        <v>0</v>
      </c>
      <c r="E19" s="65">
        <f>-MIN(MAX(0,'Cash Flow Statement'!E22+E12+E18),MAX(0,E17+E18))</f>
        <v>0</v>
      </c>
      <c r="F19" s="65">
        <f>-MIN(MAX(0,'Cash Flow Statement'!F22+F12+F18),MAX(0,F17+F18))</f>
        <v>0</v>
      </c>
      <c r="G19" s="65">
        <f>-MIN(MAX(0,'Cash Flow Statement'!G22+G12+G18),MAX(0,G17+G18))</f>
        <v>0</v>
      </c>
      <c r="H19" s="65">
        <f>-MIN(MAX(0,'Cash Flow Statement'!H22+H12+H18),MAX(0,H17+H18))</f>
        <v>0</v>
      </c>
    </row>
    <row r="20" spans="1:8" ht="15.75" customHeight="1" x14ac:dyDescent="0.25">
      <c r="A20" s="24"/>
      <c r="B20" s="25" t="s">
        <v>110</v>
      </c>
      <c r="C20" s="66">
        <f t="shared" ref="C20:H20" si="2">C17+C18+C19</f>
        <v>0</v>
      </c>
      <c r="D20" s="66">
        <f t="shared" si="2"/>
        <v>0</v>
      </c>
      <c r="E20" s="66">
        <f t="shared" si="2"/>
        <v>0</v>
      </c>
      <c r="F20" s="66">
        <f t="shared" si="2"/>
        <v>0</v>
      </c>
      <c r="G20" s="66">
        <f t="shared" si="2"/>
        <v>0</v>
      </c>
      <c r="H20" s="66">
        <f t="shared" si="2"/>
        <v>0</v>
      </c>
    </row>
    <row r="21" spans="1:8" ht="15" customHeight="1" x14ac:dyDescent="0.25">
      <c r="A21" s="21"/>
      <c r="B21" s="22" t="s">
        <v>103</v>
      </c>
      <c r="C21" s="63">
        <f>-(C17+C20)/2*Assumptions!C43</f>
        <v>0</v>
      </c>
      <c r="D21" s="63">
        <f>-(D17+D20)/2*Assumptions!C43</f>
        <v>0</v>
      </c>
      <c r="E21" s="63">
        <f>-(E17+E20)/2*Assumptions!C43</f>
        <v>0</v>
      </c>
      <c r="F21" s="63">
        <f>-(F17+F20)/2*Assumptions!C43</f>
        <v>0</v>
      </c>
      <c r="G21" s="63">
        <f>-(G17+G20)/2*Assumptions!C43</f>
        <v>0</v>
      </c>
      <c r="H21" s="63">
        <f>-(H17+H20)/2*Assumptions!C43</f>
        <v>0</v>
      </c>
    </row>
    <row r="22" spans="1:8" ht="18" customHeight="1" x14ac:dyDescent="0.25">
      <c r="A22" s="7"/>
      <c r="B22" s="7"/>
      <c r="C22" s="7"/>
      <c r="D22" s="7"/>
      <c r="E22" s="7"/>
      <c r="F22" s="7"/>
      <c r="G22" s="7"/>
      <c r="H22" s="7"/>
    </row>
    <row r="23" spans="1:8" ht="15.75" customHeight="1" x14ac:dyDescent="0.25">
      <c r="A23" s="34" t="s">
        <v>115</v>
      </c>
      <c r="B23" s="71"/>
      <c r="C23" s="71"/>
      <c r="D23" s="71"/>
      <c r="E23" s="71"/>
      <c r="F23" s="71"/>
      <c r="G23" s="71"/>
      <c r="H23" s="71"/>
    </row>
    <row r="24" spans="1:8" ht="15.75" customHeight="1" x14ac:dyDescent="0.25">
      <c r="A24" s="24"/>
      <c r="B24" s="25" t="s">
        <v>109</v>
      </c>
      <c r="C24" s="31">
        <f>Assumptions!C36</f>
        <v>0</v>
      </c>
      <c r="D24" s="31">
        <f>Assumptions!C36</f>
        <v>0</v>
      </c>
      <c r="E24" s="31">
        <f>Assumptions!C36</f>
        <v>0</v>
      </c>
      <c r="F24" s="31">
        <f>Assumptions!C36</f>
        <v>0</v>
      </c>
      <c r="G24" s="31">
        <f>Assumptions!C36</f>
        <v>0</v>
      </c>
      <c r="H24" s="31">
        <f>Assumptions!C36</f>
        <v>0</v>
      </c>
    </row>
    <row r="25" spans="1:8" ht="15.75" customHeight="1" x14ac:dyDescent="0.25">
      <c r="A25" s="21"/>
      <c r="B25" s="22" t="s">
        <v>103</v>
      </c>
      <c r="C25" s="63">
        <f>-C24*Assumptions!C44</f>
        <v>0</v>
      </c>
      <c r="D25" s="63">
        <f>-D24*Assumptions!C44</f>
        <v>0</v>
      </c>
      <c r="E25" s="63">
        <f>-E24*Assumptions!C44</f>
        <v>0</v>
      </c>
      <c r="F25" s="63">
        <f>-F24*Assumptions!C44</f>
        <v>0</v>
      </c>
      <c r="G25" s="63">
        <f>-G24*Assumptions!C44</f>
        <v>0</v>
      </c>
      <c r="H25" s="63">
        <f>-H24*Assumptions!C44</f>
        <v>0</v>
      </c>
    </row>
    <row r="26" spans="1:8" ht="18" customHeight="1" x14ac:dyDescent="0.25">
      <c r="A26" s="67"/>
      <c r="B26" s="67"/>
      <c r="C26" s="67"/>
      <c r="D26" s="67"/>
      <c r="E26" s="67"/>
      <c r="F26" s="67"/>
      <c r="G26" s="67"/>
      <c r="H26" s="67"/>
    </row>
    <row r="27" spans="1:8" ht="15.75" customHeight="1" x14ac:dyDescent="0.25">
      <c r="A27" s="34" t="s">
        <v>116</v>
      </c>
      <c r="B27" s="71"/>
      <c r="C27" s="71"/>
      <c r="D27" s="71"/>
      <c r="E27" s="71"/>
      <c r="F27" s="71"/>
      <c r="G27" s="71"/>
      <c r="H27" s="71"/>
    </row>
    <row r="28" spans="1:8" ht="15.75" customHeight="1" x14ac:dyDescent="0.25">
      <c r="A28" s="27"/>
      <c r="B28" s="28" t="s">
        <v>117</v>
      </c>
      <c r="C28" s="68">
        <f t="shared" ref="C28:H28" si="3">C6+C11+C17+C24</f>
        <v>0</v>
      </c>
      <c r="D28" s="68">
        <f t="shared" si="3"/>
        <v>0</v>
      </c>
      <c r="E28" s="68">
        <f t="shared" si="3"/>
        <v>0</v>
      </c>
      <c r="F28" s="68">
        <f t="shared" si="3"/>
        <v>0</v>
      </c>
      <c r="G28" s="68">
        <f t="shared" si="3"/>
        <v>0</v>
      </c>
      <c r="H28" s="68">
        <f t="shared" si="3"/>
        <v>0</v>
      </c>
    </row>
    <row r="29" spans="1:8" ht="15.75" customHeight="1" x14ac:dyDescent="0.25">
      <c r="A29" s="27"/>
      <c r="B29" s="28" t="s">
        <v>118</v>
      </c>
      <c r="C29" s="68">
        <f t="shared" ref="C29:H29" si="4">C7+C13+C20+C24</f>
        <v>0</v>
      </c>
      <c r="D29" s="68">
        <f t="shared" si="4"/>
        <v>0</v>
      </c>
      <c r="E29" s="68">
        <f t="shared" si="4"/>
        <v>0</v>
      </c>
      <c r="F29" s="68">
        <f t="shared" si="4"/>
        <v>0</v>
      </c>
      <c r="G29" s="68">
        <f t="shared" si="4"/>
        <v>0</v>
      </c>
      <c r="H29" s="68">
        <f t="shared" si="4"/>
        <v>0</v>
      </c>
    </row>
    <row r="30" spans="1:8" ht="15.75" customHeight="1" x14ac:dyDescent="0.25">
      <c r="A30" s="24"/>
      <c r="B30" s="25" t="s">
        <v>119</v>
      </c>
      <c r="C30" s="69" t="str">
        <f>IF('Income Statement'!C21=0,"-",-C29/'Income Statement'!C21)</f>
        <v>-</v>
      </c>
      <c r="D30" s="69" t="str">
        <f>IF('Income Statement'!D21=0,"-",-D29/'Income Statement'!D21)</f>
        <v>-</v>
      </c>
      <c r="E30" s="69" t="str">
        <f>IF('Income Statement'!E21=0,"-",-E29/'Income Statement'!E21)</f>
        <v>-</v>
      </c>
      <c r="F30" s="69" t="str">
        <f>IF('Income Statement'!F21=0,"-",-F29/'Income Statement'!F21)</f>
        <v>-</v>
      </c>
      <c r="G30" s="69" t="str">
        <f>IF('Income Statement'!G21=0,"-",-G29/'Income Statement'!G21)</f>
        <v>-</v>
      </c>
      <c r="H30" s="69" t="str">
        <f>IF('Income Statement'!H21=0,"-",-H29/'Income Statement'!H21)</f>
        <v>-</v>
      </c>
    </row>
    <row r="31" spans="1:8" ht="15" customHeight="1" x14ac:dyDescent="0.25">
      <c r="A31" s="21"/>
      <c r="B31" s="22" t="s">
        <v>120</v>
      </c>
      <c r="C31" s="70" t="str">
        <f>IF(C26=0,"-",-'Income Statement'!C21/C26)</f>
        <v>-</v>
      </c>
      <c r="D31" s="70" t="str">
        <f>IF(D26=0,"-",-'Income Statement'!D21/D26)</f>
        <v>-</v>
      </c>
      <c r="E31" s="70" t="str">
        <f>IF(E26=0,"-",-'Income Statement'!E21/E26)</f>
        <v>-</v>
      </c>
      <c r="F31" s="70" t="str">
        <f>IF(F26=0,"-",-'Income Statement'!F21/F26)</f>
        <v>-</v>
      </c>
      <c r="G31" s="70" t="str">
        <f>IF(G26=0,"-",-'Income Statement'!G21/G26)</f>
        <v>-</v>
      </c>
      <c r="H31" s="70" t="str">
        <f>IF(H26=0,"-",-'Income Statement'!H21/H26)</f>
        <v>-</v>
      </c>
    </row>
  </sheetData>
  <mergeCells count="10">
    <mergeCell ref="A27:H27"/>
    <mergeCell ref="A16:H16"/>
    <mergeCell ref="A22:H22"/>
    <mergeCell ref="A26:H26"/>
    <mergeCell ref="A1:H1"/>
    <mergeCell ref="A2:H2"/>
    <mergeCell ref="A3:H3"/>
    <mergeCell ref="A5:H5"/>
    <mergeCell ref="A10:H10"/>
    <mergeCell ref="A23:H2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8090"/>
  </sheetPr>
  <dimension ref="A1:H27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2" style="1" customWidth="1"/>
    <col min="2" max="2" width="40" style="1" customWidth="1"/>
    <col min="3" max="8" width="14" style="1" customWidth="1"/>
    <col min="9" max="16384" width="8.7109375" style="1"/>
  </cols>
  <sheetData>
    <row r="1" spans="1:8" ht="36" customHeight="1" x14ac:dyDescent="0.25">
      <c r="A1" s="64" t="s">
        <v>121</v>
      </c>
      <c r="B1" s="64"/>
      <c r="C1" s="64"/>
      <c r="D1" s="64"/>
      <c r="E1" s="64"/>
      <c r="F1" s="64"/>
      <c r="G1" s="64"/>
      <c r="H1" s="64"/>
    </row>
    <row r="2" spans="1:8" ht="6" customHeight="1" x14ac:dyDescent="0.25">
      <c r="A2" s="20"/>
      <c r="B2" s="20"/>
      <c r="C2" s="20"/>
      <c r="D2" s="20"/>
      <c r="E2" s="20"/>
      <c r="F2" s="20"/>
      <c r="G2" s="20"/>
      <c r="H2" s="20"/>
    </row>
    <row r="3" spans="1:8" ht="12" customHeight="1" x14ac:dyDescent="0.25">
      <c r="A3" s="7"/>
      <c r="B3" s="7"/>
      <c r="C3" s="7"/>
      <c r="D3" s="7"/>
      <c r="E3" s="7"/>
      <c r="F3" s="7"/>
      <c r="G3" s="7"/>
      <c r="H3" s="7"/>
    </row>
    <row r="4" spans="1:8" ht="21.75" customHeight="1" x14ac:dyDescent="0.25">
      <c r="B4" s="33"/>
      <c r="C4" s="33" t="s">
        <v>12</v>
      </c>
      <c r="D4" s="33" t="s">
        <v>13</v>
      </c>
      <c r="E4" s="33" t="s">
        <v>14</v>
      </c>
      <c r="F4" s="33" t="s">
        <v>15</v>
      </c>
      <c r="G4" s="33" t="s">
        <v>16</v>
      </c>
      <c r="H4" s="33" t="s">
        <v>17</v>
      </c>
    </row>
    <row r="5" spans="1:8" ht="18" customHeight="1" x14ac:dyDescent="0.25">
      <c r="A5" s="34" t="s">
        <v>122</v>
      </c>
      <c r="B5" s="34"/>
      <c r="C5" s="34"/>
      <c r="D5" s="34"/>
      <c r="E5" s="34"/>
      <c r="F5" s="34"/>
      <c r="G5" s="34"/>
      <c r="H5" s="34"/>
    </row>
    <row r="6" spans="1:8" ht="15.75" customHeight="1" x14ac:dyDescent="0.25">
      <c r="A6" s="21"/>
      <c r="B6" s="22" t="s">
        <v>25</v>
      </c>
      <c r="C6" s="54">
        <f>'Income Statement'!C31</f>
        <v>0</v>
      </c>
      <c r="D6" s="54">
        <f>'Income Statement'!D31</f>
        <v>0</v>
      </c>
      <c r="E6" s="54">
        <f>'Income Statement'!E31</f>
        <v>0</v>
      </c>
      <c r="F6" s="54">
        <f>'Income Statement'!F31</f>
        <v>0</v>
      </c>
      <c r="G6" s="54">
        <f>'Income Statement'!G31</f>
        <v>0</v>
      </c>
      <c r="H6" s="54">
        <f>'Income Statement'!H31</f>
        <v>0</v>
      </c>
    </row>
    <row r="7" spans="1:8" ht="15.75" customHeight="1" x14ac:dyDescent="0.25">
      <c r="A7" s="24"/>
      <c r="B7" s="25" t="s">
        <v>123</v>
      </c>
      <c r="C7" s="31">
        <f>-'Income Statement'!C23</f>
        <v>0</v>
      </c>
      <c r="D7" s="31">
        <f>-'Income Statement'!D23</f>
        <v>0</v>
      </c>
      <c r="E7" s="31">
        <f>-'Income Statement'!E23</f>
        <v>0</v>
      </c>
      <c r="F7" s="31">
        <f>-'Income Statement'!F23</f>
        <v>0</v>
      </c>
      <c r="G7" s="31">
        <f>-'Income Statement'!G23</f>
        <v>0</v>
      </c>
      <c r="H7" s="31">
        <f>-'Income Statement'!H23</f>
        <v>0</v>
      </c>
    </row>
    <row r="8" spans="1:8" ht="15.75" customHeight="1" x14ac:dyDescent="0.25">
      <c r="A8" s="21"/>
      <c r="B8" s="22" t="s">
        <v>124</v>
      </c>
      <c r="C8" s="54">
        <f>0</f>
        <v>0</v>
      </c>
      <c r="D8" s="54">
        <f>-Assumptions!D29*('Income Statement'!D6-'Income Statement'!C6)</f>
        <v>0</v>
      </c>
      <c r="E8" s="54">
        <f>-Assumptions!E29*('Income Statement'!E6-'Income Statement'!D6)</f>
        <v>0</v>
      </c>
      <c r="F8" s="54">
        <f>-Assumptions!F29*('Income Statement'!F6-'Income Statement'!E6)</f>
        <v>0</v>
      </c>
      <c r="G8" s="54">
        <f>-Assumptions!G29*('Income Statement'!G6-'Income Statement'!F6)</f>
        <v>0</v>
      </c>
      <c r="H8" s="54">
        <f>-Assumptions!H29*('Income Statement'!H6-'Income Statement'!G6)</f>
        <v>0</v>
      </c>
    </row>
    <row r="9" spans="1:8" ht="15.75" customHeight="1" x14ac:dyDescent="0.25">
      <c r="A9" s="59"/>
      <c r="B9" s="60" t="s">
        <v>125</v>
      </c>
      <c r="C9" s="61">
        <f t="shared" ref="C9:H9" si="0">SUM(C6:C8)</f>
        <v>0</v>
      </c>
      <c r="D9" s="61">
        <f t="shared" si="0"/>
        <v>0</v>
      </c>
      <c r="E9" s="61">
        <f t="shared" si="0"/>
        <v>0</v>
      </c>
      <c r="F9" s="61">
        <f t="shared" si="0"/>
        <v>0</v>
      </c>
      <c r="G9" s="61">
        <f t="shared" si="0"/>
        <v>0</v>
      </c>
      <c r="H9" s="61">
        <f t="shared" si="0"/>
        <v>0</v>
      </c>
    </row>
    <row r="11" spans="1:8" ht="18" customHeight="1" x14ac:dyDescent="0.25">
      <c r="A11" s="34" t="s">
        <v>126</v>
      </c>
      <c r="B11" s="34"/>
      <c r="C11" s="34"/>
      <c r="D11" s="34"/>
      <c r="E11" s="34"/>
      <c r="F11" s="34"/>
      <c r="G11" s="34"/>
      <c r="H11" s="34"/>
    </row>
    <row r="12" spans="1:8" ht="15.75" customHeight="1" x14ac:dyDescent="0.25">
      <c r="A12" s="21"/>
      <c r="B12" s="22" t="s">
        <v>127</v>
      </c>
      <c r="C12" s="54">
        <f>-Assumptions!C28*'Income Statement'!C6</f>
        <v>0</v>
      </c>
      <c r="D12" s="54">
        <f>-Assumptions!D28*'Income Statement'!D6</f>
        <v>0</v>
      </c>
      <c r="E12" s="54">
        <f>-Assumptions!E28*'Income Statement'!E6</f>
        <v>0</v>
      </c>
      <c r="F12" s="54">
        <f>-Assumptions!F28*'Income Statement'!F6</f>
        <v>0</v>
      </c>
      <c r="G12" s="54">
        <f>-Assumptions!G28*'Income Statement'!G6</f>
        <v>0</v>
      </c>
      <c r="H12" s="54">
        <f>-Assumptions!H28*'Income Statement'!H6</f>
        <v>0</v>
      </c>
    </row>
    <row r="13" spans="1:8" ht="15.75" customHeight="1" x14ac:dyDescent="0.25">
      <c r="A13" s="59"/>
      <c r="B13" s="60" t="s">
        <v>128</v>
      </c>
      <c r="C13" s="61">
        <f t="shared" ref="C13:H13" si="1">C12</f>
        <v>0</v>
      </c>
      <c r="D13" s="61">
        <f t="shared" si="1"/>
        <v>0</v>
      </c>
      <c r="E13" s="61">
        <f t="shared" si="1"/>
        <v>0</v>
      </c>
      <c r="F13" s="61">
        <f t="shared" si="1"/>
        <v>0</v>
      </c>
      <c r="G13" s="61">
        <f t="shared" si="1"/>
        <v>0</v>
      </c>
      <c r="H13" s="61">
        <f t="shared" si="1"/>
        <v>0</v>
      </c>
    </row>
    <row r="15" spans="1:8" ht="18" customHeight="1" x14ac:dyDescent="0.25">
      <c r="A15" s="34" t="s">
        <v>129</v>
      </c>
      <c r="B15" s="34"/>
      <c r="C15" s="34"/>
      <c r="D15" s="34"/>
      <c r="E15" s="34"/>
      <c r="F15" s="34"/>
      <c r="G15" s="34"/>
      <c r="H15" s="34"/>
    </row>
    <row r="16" spans="1:8" ht="15.75" customHeight="1" x14ac:dyDescent="0.25">
      <c r="A16" s="21"/>
      <c r="B16" s="22" t="s">
        <v>130</v>
      </c>
      <c r="C16" s="54">
        <f>'Debt Schedule'!C12</f>
        <v>0</v>
      </c>
      <c r="D16" s="54">
        <f>'Debt Schedule'!D12</f>
        <v>0</v>
      </c>
      <c r="E16" s="54">
        <f>'Debt Schedule'!E12</f>
        <v>0</v>
      </c>
      <c r="F16" s="54">
        <f>'Debt Schedule'!F12</f>
        <v>0</v>
      </c>
      <c r="G16" s="54">
        <f>'Debt Schedule'!G12</f>
        <v>0</v>
      </c>
      <c r="H16" s="54">
        <f>'Debt Schedule'!H12</f>
        <v>0</v>
      </c>
    </row>
    <row r="17" spans="1:8" ht="15.75" customHeight="1" x14ac:dyDescent="0.25">
      <c r="A17" s="24"/>
      <c r="B17" s="25" t="s">
        <v>131</v>
      </c>
      <c r="C17" s="31">
        <f>'Debt Schedule'!C18</f>
        <v>0</v>
      </c>
      <c r="D17" s="31">
        <f>'Debt Schedule'!D18</f>
        <v>0</v>
      </c>
      <c r="E17" s="31">
        <f>'Debt Schedule'!E18</f>
        <v>0</v>
      </c>
      <c r="F17" s="31">
        <f>'Debt Schedule'!F18</f>
        <v>0</v>
      </c>
      <c r="G17" s="31">
        <f>'Debt Schedule'!G18</f>
        <v>0</v>
      </c>
      <c r="H17" s="31">
        <f>'Debt Schedule'!H18</f>
        <v>0</v>
      </c>
    </row>
    <row r="18" spans="1:8" ht="15.75" customHeight="1" x14ac:dyDescent="0.25">
      <c r="B18" s="25" t="s">
        <v>132</v>
      </c>
      <c r="C18" s="31">
        <f>'Debt Schedule'!C19</f>
        <v>0</v>
      </c>
      <c r="D18" s="31">
        <f>'Debt Schedule'!D19</f>
        <v>0</v>
      </c>
      <c r="E18" s="31">
        <f>'Debt Schedule'!E19</f>
        <v>0</v>
      </c>
      <c r="F18" s="31">
        <f>'Debt Schedule'!F19</f>
        <v>0</v>
      </c>
      <c r="G18" s="31">
        <f>'Debt Schedule'!G19</f>
        <v>0</v>
      </c>
      <c r="H18" s="31">
        <f>'Debt Schedule'!H19</f>
        <v>0</v>
      </c>
    </row>
    <row r="19" spans="1:8" ht="15" customHeight="1" x14ac:dyDescent="0.25">
      <c r="A19" s="59"/>
      <c r="B19" s="60" t="s">
        <v>133</v>
      </c>
      <c r="C19" s="72">
        <f t="shared" ref="C19:H19" si="2">SUM(C16:C18)</f>
        <v>0</v>
      </c>
      <c r="D19" s="72">
        <f t="shared" si="2"/>
        <v>0</v>
      </c>
      <c r="E19" s="72">
        <f t="shared" si="2"/>
        <v>0</v>
      </c>
      <c r="F19" s="72">
        <f t="shared" si="2"/>
        <v>0</v>
      </c>
      <c r="G19" s="72">
        <f t="shared" si="2"/>
        <v>0</v>
      </c>
      <c r="H19" s="72">
        <f t="shared" si="2"/>
        <v>0</v>
      </c>
    </row>
    <row r="20" spans="1:8" ht="18" customHeight="1" x14ac:dyDescent="0.25">
      <c r="A20" s="7"/>
      <c r="B20" s="7"/>
      <c r="C20" s="7"/>
      <c r="D20" s="7"/>
      <c r="E20" s="7"/>
      <c r="F20" s="7"/>
      <c r="G20" s="7"/>
      <c r="H20" s="7"/>
    </row>
    <row r="21" spans="1:8" ht="15.75" customHeight="1" x14ac:dyDescent="0.25">
      <c r="A21" s="34" t="s">
        <v>134</v>
      </c>
      <c r="B21" s="71"/>
      <c r="C21" s="71"/>
      <c r="D21" s="71"/>
      <c r="E21" s="71"/>
      <c r="F21" s="71"/>
      <c r="G21" s="71"/>
      <c r="H21" s="71"/>
    </row>
    <row r="22" spans="1:8" ht="15.75" customHeight="1" x14ac:dyDescent="0.25">
      <c r="A22" s="27"/>
      <c r="B22" s="28" t="s">
        <v>135</v>
      </c>
      <c r="C22" s="29">
        <f t="shared" ref="C22:H22" si="3">C9+C13</f>
        <v>0</v>
      </c>
      <c r="D22" s="29">
        <f t="shared" si="3"/>
        <v>0</v>
      </c>
      <c r="E22" s="29">
        <f t="shared" si="3"/>
        <v>0</v>
      </c>
      <c r="F22" s="29">
        <f t="shared" si="3"/>
        <v>0</v>
      </c>
      <c r="G22" s="29">
        <f t="shared" si="3"/>
        <v>0</v>
      </c>
      <c r="H22" s="29">
        <f t="shared" si="3"/>
        <v>0</v>
      </c>
    </row>
    <row r="23" spans="1:8" ht="15" customHeight="1" x14ac:dyDescent="0.25">
      <c r="A23" s="27"/>
      <c r="B23" s="28" t="s">
        <v>136</v>
      </c>
      <c r="C23" s="62">
        <f>'Income Statement'!C21*(1-Assumptions!C30)-'Income Statement'!C23+C8+C12</f>
        <v>0</v>
      </c>
      <c r="D23" s="62">
        <f>'Income Statement'!D21*(1-Assumptions!D30)-'Income Statement'!D23+D8+D12</f>
        <v>0</v>
      </c>
      <c r="E23" s="62">
        <f>'Income Statement'!E21*(1-Assumptions!E30)-'Income Statement'!E23+E8+E12</f>
        <v>0</v>
      </c>
      <c r="F23" s="62">
        <f>'Income Statement'!F21*(1-Assumptions!F30)-'Income Statement'!F23+F8+F12</f>
        <v>0</v>
      </c>
      <c r="G23" s="62">
        <f>'Income Statement'!G21*(1-Assumptions!G30)-'Income Statement'!G23+G8+G12</f>
        <v>0</v>
      </c>
      <c r="H23" s="62">
        <f>'Income Statement'!H21*(1-Assumptions!H30)-'Income Statement'!H23+H8+H12</f>
        <v>0</v>
      </c>
    </row>
    <row r="24" spans="1:8" ht="18" customHeight="1" x14ac:dyDescent="0.25">
      <c r="A24" s="7"/>
      <c r="B24" s="7"/>
      <c r="C24" s="7"/>
      <c r="D24" s="7"/>
      <c r="E24" s="7"/>
      <c r="F24" s="7"/>
      <c r="G24" s="7"/>
      <c r="H24" s="7"/>
    </row>
    <row r="25" spans="1:8" ht="15.75" customHeight="1" thickBot="1" x14ac:dyDescent="0.3">
      <c r="A25" s="34" t="s">
        <v>137</v>
      </c>
      <c r="B25" s="71"/>
      <c r="C25" s="74"/>
      <c r="D25" s="71"/>
      <c r="E25" s="71"/>
      <c r="F25" s="71"/>
      <c r="G25" s="71"/>
      <c r="H25" s="71"/>
    </row>
    <row r="26" spans="1:8" ht="15.75" customHeight="1" thickTop="1" thickBot="1" x14ac:dyDescent="0.3">
      <c r="A26" s="24"/>
      <c r="B26" s="38" t="s">
        <v>138</v>
      </c>
      <c r="C26" s="76">
        <v>0</v>
      </c>
      <c r="D26" s="73">
        <f>C27</f>
        <v>0</v>
      </c>
      <c r="E26" s="31">
        <f>D27</f>
        <v>0</v>
      </c>
      <c r="F26" s="31">
        <f>E27</f>
        <v>0</v>
      </c>
      <c r="G26" s="31">
        <f>F27</f>
        <v>0</v>
      </c>
      <c r="H26" s="31">
        <f>G27</f>
        <v>0</v>
      </c>
    </row>
    <row r="27" spans="1:8" ht="15" customHeight="1" thickTop="1" x14ac:dyDescent="0.25">
      <c r="A27" s="27"/>
      <c r="B27" s="28" t="s">
        <v>139</v>
      </c>
      <c r="C27" s="75">
        <f t="shared" ref="C27:H27" si="4">C26+C22</f>
        <v>0</v>
      </c>
      <c r="D27" s="68">
        <f t="shared" si="4"/>
        <v>0</v>
      </c>
      <c r="E27" s="68">
        <f t="shared" si="4"/>
        <v>0</v>
      </c>
      <c r="F27" s="68">
        <f t="shared" si="4"/>
        <v>0</v>
      </c>
      <c r="G27" s="68">
        <f t="shared" si="4"/>
        <v>0</v>
      </c>
      <c r="H27" s="68">
        <f t="shared" si="4"/>
        <v>0</v>
      </c>
    </row>
  </sheetData>
  <mergeCells count="10">
    <mergeCell ref="A25:H25"/>
    <mergeCell ref="A15:H15"/>
    <mergeCell ref="A20:H20"/>
    <mergeCell ref="A24:H24"/>
    <mergeCell ref="A1:H1"/>
    <mergeCell ref="A2:H2"/>
    <mergeCell ref="A3:H3"/>
    <mergeCell ref="A5:H5"/>
    <mergeCell ref="A11:H11"/>
    <mergeCell ref="A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9CB5"/>
  </sheetPr>
  <dimension ref="A1:H40"/>
  <sheetViews>
    <sheetView showGridLines="0" zoomScaleNormal="100" workbookViewId="0">
      <pane xSplit="2" ySplit="4" topLeftCell="C14" activePane="bottomRight" state="frozen"/>
      <selection pane="topRight" activeCell="C1" sqref="C1"/>
      <selection pane="bottomLeft" activeCell="A5" sqref="A5"/>
      <selection pane="bottomRight" sqref="A1:H1"/>
    </sheetView>
  </sheetViews>
  <sheetFormatPr defaultColWidth="8.7109375" defaultRowHeight="15" x14ac:dyDescent="0.25"/>
  <cols>
    <col min="1" max="1" width="2" style="1" customWidth="1"/>
    <col min="2" max="2" width="40" style="1" customWidth="1"/>
    <col min="3" max="8" width="14" style="1" customWidth="1"/>
    <col min="9" max="16384" width="8.7109375" style="1"/>
  </cols>
  <sheetData>
    <row r="1" spans="1:8" ht="36" customHeight="1" x14ac:dyDescent="0.25">
      <c r="A1" s="64" t="s">
        <v>140</v>
      </c>
      <c r="B1" s="64"/>
      <c r="C1" s="64"/>
      <c r="D1" s="64"/>
      <c r="E1" s="64"/>
      <c r="F1" s="64"/>
      <c r="G1" s="64"/>
      <c r="H1" s="64"/>
    </row>
    <row r="2" spans="1:8" ht="6" customHeight="1" x14ac:dyDescent="0.25">
      <c r="A2" s="20"/>
      <c r="B2" s="20"/>
      <c r="C2" s="20"/>
      <c r="D2" s="20"/>
      <c r="E2" s="20"/>
      <c r="F2" s="20"/>
      <c r="G2" s="20"/>
      <c r="H2" s="20"/>
    </row>
    <row r="3" spans="1:8" ht="12" customHeight="1" x14ac:dyDescent="0.25">
      <c r="A3" s="7"/>
      <c r="B3" s="7"/>
      <c r="C3" s="7"/>
      <c r="D3" s="7"/>
      <c r="E3" s="7"/>
      <c r="F3" s="7"/>
      <c r="G3" s="7"/>
      <c r="H3" s="7"/>
    </row>
    <row r="4" spans="1:8" ht="21.75" customHeight="1" x14ac:dyDescent="0.25">
      <c r="B4" s="33"/>
      <c r="C4" s="33" t="s">
        <v>12</v>
      </c>
      <c r="D4" s="33" t="s">
        <v>13</v>
      </c>
      <c r="E4" s="33" t="s">
        <v>14</v>
      </c>
      <c r="F4" s="33" t="s">
        <v>15</v>
      </c>
      <c r="G4" s="33" t="s">
        <v>16</v>
      </c>
      <c r="H4" s="33" t="s">
        <v>17</v>
      </c>
    </row>
    <row r="5" spans="1:8" ht="18" customHeight="1" x14ac:dyDescent="0.25">
      <c r="A5" s="34" t="s">
        <v>141</v>
      </c>
      <c r="B5" s="34"/>
      <c r="C5" s="34"/>
      <c r="D5" s="34"/>
      <c r="E5" s="34"/>
      <c r="F5" s="34"/>
      <c r="G5" s="34"/>
      <c r="H5" s="34"/>
    </row>
    <row r="6" spans="1:8" ht="15.75" customHeight="1" x14ac:dyDescent="0.25">
      <c r="A6" s="21"/>
      <c r="B6" s="22" t="s">
        <v>142</v>
      </c>
      <c r="C6" s="54">
        <f>'Cash Flow Statement'!C26</f>
        <v>0</v>
      </c>
      <c r="D6" s="54">
        <f>'Cash Flow Statement'!D26</f>
        <v>0</v>
      </c>
      <c r="E6" s="54">
        <f>'Cash Flow Statement'!E26</f>
        <v>0</v>
      </c>
      <c r="F6" s="54">
        <f>'Cash Flow Statement'!F26</f>
        <v>0</v>
      </c>
      <c r="G6" s="54">
        <f>'Cash Flow Statement'!G26</f>
        <v>0</v>
      </c>
      <c r="H6" s="54">
        <f>'Cash Flow Statement'!H26</f>
        <v>0</v>
      </c>
    </row>
    <row r="7" spans="1:8" ht="15.75" customHeight="1" x14ac:dyDescent="0.25">
      <c r="A7" s="24"/>
      <c r="B7" s="25" t="s">
        <v>143</v>
      </c>
      <c r="C7" s="31">
        <f>'Income Statement'!C6*0.12</f>
        <v>0</v>
      </c>
      <c r="D7" s="31">
        <f>'Income Statement'!D6*0.12</f>
        <v>0</v>
      </c>
      <c r="E7" s="31">
        <f>'Income Statement'!E6*0.12</f>
        <v>0</v>
      </c>
      <c r="F7" s="31">
        <f>'Income Statement'!F6*0.12</f>
        <v>0</v>
      </c>
      <c r="G7" s="31">
        <f>'Income Statement'!G6*0.12</f>
        <v>0</v>
      </c>
      <c r="H7" s="31">
        <f>'Income Statement'!H6*0.12</f>
        <v>0</v>
      </c>
    </row>
    <row r="8" spans="1:8" ht="15.75" customHeight="1" x14ac:dyDescent="0.25">
      <c r="A8" s="21"/>
      <c r="B8" s="22" t="s">
        <v>144</v>
      </c>
      <c r="C8" s="54">
        <f>'Income Statement'!C6*0.08</f>
        <v>0</v>
      </c>
      <c r="D8" s="54">
        <f>'Income Statement'!D6*0.08</f>
        <v>0</v>
      </c>
      <c r="E8" s="54">
        <f>'Income Statement'!E6*0.08</f>
        <v>0</v>
      </c>
      <c r="F8" s="54">
        <f>'Income Statement'!F6*0.08</f>
        <v>0</v>
      </c>
      <c r="G8" s="54">
        <f>'Income Statement'!G6*0.08</f>
        <v>0</v>
      </c>
      <c r="H8" s="54">
        <f>'Income Statement'!H6*0.08</f>
        <v>0</v>
      </c>
    </row>
    <row r="9" spans="1:8" ht="15.75" customHeight="1" x14ac:dyDescent="0.25">
      <c r="A9" s="24"/>
      <c r="B9" s="25" t="s">
        <v>145</v>
      </c>
      <c r="C9" s="31">
        <f>'Income Statement'!C6*0.03</f>
        <v>0</v>
      </c>
      <c r="D9" s="31">
        <f>'Income Statement'!D6*0.03</f>
        <v>0</v>
      </c>
      <c r="E9" s="31">
        <f>'Income Statement'!E6*0.03</f>
        <v>0</v>
      </c>
      <c r="F9" s="31">
        <f>'Income Statement'!F6*0.03</f>
        <v>0</v>
      </c>
      <c r="G9" s="31">
        <f>'Income Statement'!G6*0.03</f>
        <v>0</v>
      </c>
      <c r="H9" s="31">
        <f>'Income Statement'!H6*0.03</f>
        <v>0</v>
      </c>
    </row>
    <row r="10" spans="1:8" ht="15.75" customHeight="1" x14ac:dyDescent="0.25">
      <c r="A10" s="59"/>
      <c r="B10" s="60" t="s">
        <v>146</v>
      </c>
      <c r="C10" s="61">
        <f t="shared" ref="C10:H10" si="0">SUM(C6:C9)</f>
        <v>0</v>
      </c>
      <c r="D10" s="61">
        <f t="shared" si="0"/>
        <v>0</v>
      </c>
      <c r="E10" s="61">
        <f t="shared" si="0"/>
        <v>0</v>
      </c>
      <c r="F10" s="61">
        <f t="shared" si="0"/>
        <v>0</v>
      </c>
      <c r="G10" s="61">
        <f t="shared" si="0"/>
        <v>0</v>
      </c>
      <c r="H10" s="61">
        <f t="shared" si="0"/>
        <v>0</v>
      </c>
    </row>
    <row r="12" spans="1:8" ht="18" customHeight="1" thickBot="1" x14ac:dyDescent="0.3">
      <c r="A12" s="34" t="s">
        <v>147</v>
      </c>
      <c r="B12" s="34"/>
      <c r="C12" s="37"/>
      <c r="D12" s="34"/>
      <c r="E12" s="34"/>
      <c r="F12" s="34"/>
      <c r="G12" s="34"/>
      <c r="H12" s="34"/>
    </row>
    <row r="13" spans="1:8" ht="15.75" customHeight="1" thickTop="1" thickBot="1" x14ac:dyDescent="0.3">
      <c r="A13" s="24"/>
      <c r="B13" s="38" t="s">
        <v>148</v>
      </c>
      <c r="C13" s="76">
        <v>0</v>
      </c>
      <c r="D13" s="73">
        <f>C13+'Cash Flow Statement'!D12*-1+'Income Statement'!D23</f>
        <v>0</v>
      </c>
      <c r="E13" s="31">
        <f>D13+'Cash Flow Statement'!E12*-1+'Income Statement'!E23</f>
        <v>0</v>
      </c>
      <c r="F13" s="31">
        <f>E13+'Cash Flow Statement'!F12*-1+'Income Statement'!F23</f>
        <v>0</v>
      </c>
      <c r="G13" s="31">
        <f>F13+'Cash Flow Statement'!G12*-1+'Income Statement'!G23</f>
        <v>0</v>
      </c>
      <c r="H13" s="31">
        <f>G13+'Cash Flow Statement'!H12*-1+'Income Statement'!H23</f>
        <v>0</v>
      </c>
    </row>
    <row r="14" spans="1:8" ht="15.75" customHeight="1" thickTop="1" thickBot="1" x14ac:dyDescent="0.3">
      <c r="A14" s="21"/>
      <c r="B14" s="35" t="s">
        <v>149</v>
      </c>
      <c r="C14" s="81">
        <f>0</f>
        <v>0</v>
      </c>
      <c r="D14" s="78">
        <f>C14+'Income Statement'!C23</f>
        <v>0</v>
      </c>
      <c r="E14" s="54">
        <f>D14+'Income Statement'!D23</f>
        <v>0</v>
      </c>
      <c r="F14" s="54">
        <f>E14+'Income Statement'!E23</f>
        <v>0</v>
      </c>
      <c r="G14" s="54">
        <f>F14+'Income Statement'!F23</f>
        <v>0</v>
      </c>
      <c r="H14" s="54">
        <f>G14+'Income Statement'!G23</f>
        <v>0</v>
      </c>
    </row>
    <row r="15" spans="1:8" ht="15.75" customHeight="1" thickTop="1" thickBot="1" x14ac:dyDescent="0.3">
      <c r="A15" s="59"/>
      <c r="B15" s="77" t="s">
        <v>150</v>
      </c>
      <c r="C15" s="83">
        <f t="shared" ref="C15:H15" si="1">C13+C14</f>
        <v>0</v>
      </c>
      <c r="D15" s="79">
        <f t="shared" si="1"/>
        <v>0</v>
      </c>
      <c r="E15" s="79">
        <f t="shared" si="1"/>
        <v>0</v>
      </c>
      <c r="F15" s="79">
        <f t="shared" si="1"/>
        <v>0</v>
      </c>
      <c r="G15" s="79">
        <f t="shared" si="1"/>
        <v>0</v>
      </c>
      <c r="H15" s="79">
        <f t="shared" si="1"/>
        <v>0</v>
      </c>
    </row>
    <row r="16" spans="1:8" ht="15.75" customHeight="1" thickTop="1" thickBot="1" x14ac:dyDescent="0.3">
      <c r="A16" s="21"/>
      <c r="B16" s="35" t="s">
        <v>151</v>
      </c>
      <c r="C16" s="81">
        <v>0</v>
      </c>
      <c r="D16" s="81"/>
      <c r="E16" s="81"/>
      <c r="F16" s="81"/>
      <c r="G16" s="81"/>
      <c r="H16" s="81"/>
    </row>
    <row r="17" spans="1:8" ht="15.75" customHeight="1" thickTop="1" x14ac:dyDescent="0.25">
      <c r="A17" s="59"/>
      <c r="B17" s="60" t="s">
        <v>152</v>
      </c>
      <c r="C17" s="80">
        <f t="shared" ref="C17:H17" si="2">C15+C16</f>
        <v>0</v>
      </c>
      <c r="D17" s="80">
        <f t="shared" si="2"/>
        <v>0</v>
      </c>
      <c r="E17" s="80">
        <f t="shared" si="2"/>
        <v>0</v>
      </c>
      <c r="F17" s="80">
        <f t="shared" si="2"/>
        <v>0</v>
      </c>
      <c r="G17" s="80">
        <f t="shared" si="2"/>
        <v>0</v>
      </c>
      <c r="H17" s="80">
        <f t="shared" si="2"/>
        <v>0</v>
      </c>
    </row>
    <row r="19" spans="1:8" ht="15.75" customHeight="1" x14ac:dyDescent="0.25">
      <c r="A19" s="27"/>
      <c r="B19" s="28" t="s">
        <v>153</v>
      </c>
      <c r="C19" s="29">
        <f t="shared" ref="C19:H19" si="3">C10+C17</f>
        <v>0</v>
      </c>
      <c r="D19" s="29">
        <f t="shared" si="3"/>
        <v>0</v>
      </c>
      <c r="E19" s="29">
        <f t="shared" si="3"/>
        <v>0</v>
      </c>
      <c r="F19" s="29">
        <f t="shared" si="3"/>
        <v>0</v>
      </c>
      <c r="G19" s="29">
        <f t="shared" si="3"/>
        <v>0</v>
      </c>
      <c r="H19" s="29">
        <f t="shared" si="3"/>
        <v>0</v>
      </c>
    </row>
    <row r="21" spans="1:8" ht="18" customHeight="1" x14ac:dyDescent="0.25">
      <c r="A21" s="34" t="s">
        <v>154</v>
      </c>
      <c r="B21" s="34"/>
      <c r="C21" s="34"/>
      <c r="D21" s="34"/>
      <c r="E21" s="34"/>
      <c r="F21" s="34"/>
      <c r="G21" s="34"/>
      <c r="H21" s="34"/>
    </row>
    <row r="22" spans="1:8" ht="15.75" customHeight="1" x14ac:dyDescent="0.25">
      <c r="A22" s="21"/>
      <c r="B22" s="22" t="s">
        <v>155</v>
      </c>
      <c r="C22" s="54">
        <f>'Income Statement'!C10*-0.15</f>
        <v>0</v>
      </c>
      <c r="D22" s="54">
        <f>'Income Statement'!D10*-0.15</f>
        <v>0</v>
      </c>
      <c r="E22" s="54">
        <f>'Income Statement'!E10*-0.15</f>
        <v>0</v>
      </c>
      <c r="F22" s="54">
        <f>'Income Statement'!F10*-0.15</f>
        <v>0</v>
      </c>
      <c r="G22" s="54">
        <f>'Income Statement'!G10*-0.15</f>
        <v>0</v>
      </c>
      <c r="H22" s="54">
        <f>'Income Statement'!H10*-0.15</f>
        <v>0</v>
      </c>
    </row>
    <row r="23" spans="1:8" ht="15.75" customHeight="1" x14ac:dyDescent="0.25">
      <c r="A23" s="24"/>
      <c r="B23" s="25" t="s">
        <v>156</v>
      </c>
      <c r="C23" s="31">
        <f>'Income Statement'!C6*0.04</f>
        <v>0</v>
      </c>
      <c r="D23" s="31">
        <f>'Income Statement'!D6*0.04</f>
        <v>0</v>
      </c>
      <c r="E23" s="31">
        <f>'Income Statement'!E6*0.04</f>
        <v>0</v>
      </c>
      <c r="F23" s="31">
        <f>'Income Statement'!F6*0.04</f>
        <v>0</v>
      </c>
      <c r="G23" s="31">
        <f>'Income Statement'!G6*0.04</f>
        <v>0</v>
      </c>
      <c r="H23" s="31">
        <f>'Income Statement'!H6*0.04</f>
        <v>0</v>
      </c>
    </row>
    <row r="24" spans="1:8" ht="15.75" customHeight="1" x14ac:dyDescent="0.25">
      <c r="A24" s="21"/>
      <c r="B24" s="22" t="s">
        <v>157</v>
      </c>
      <c r="C24" s="54">
        <f>'Debt Schedule'!C12*-1+Assumptions!C48</f>
        <v>0</v>
      </c>
      <c r="D24" s="54">
        <f>'Debt Schedule'!D12*-1+Assumptions!C48</f>
        <v>0</v>
      </c>
      <c r="E24" s="54">
        <f>'Debt Schedule'!E12*-1+Assumptions!C48</f>
        <v>0</v>
      </c>
      <c r="F24" s="54">
        <f>'Debt Schedule'!F12*-1+Assumptions!C48</f>
        <v>0</v>
      </c>
      <c r="G24" s="54">
        <f>'Debt Schedule'!G12*-1+Assumptions!C48</f>
        <v>0</v>
      </c>
      <c r="H24" s="54">
        <f>'Debt Schedule'!H12*-1+Assumptions!C48</f>
        <v>0</v>
      </c>
    </row>
    <row r="25" spans="1:8" ht="15.75" customHeight="1" x14ac:dyDescent="0.25">
      <c r="A25" s="59"/>
      <c r="B25" s="60" t="s">
        <v>158</v>
      </c>
      <c r="C25" s="61">
        <f t="shared" ref="C25:H25" si="4">SUM(C22:C24)</f>
        <v>0</v>
      </c>
      <c r="D25" s="61">
        <f t="shared" si="4"/>
        <v>0</v>
      </c>
      <c r="E25" s="61">
        <f t="shared" si="4"/>
        <v>0</v>
      </c>
      <c r="F25" s="61">
        <f t="shared" si="4"/>
        <v>0</v>
      </c>
      <c r="G25" s="61">
        <f t="shared" si="4"/>
        <v>0</v>
      </c>
      <c r="H25" s="61">
        <f t="shared" si="4"/>
        <v>0</v>
      </c>
    </row>
    <row r="27" spans="1:8" ht="18" customHeight="1" x14ac:dyDescent="0.25">
      <c r="A27" s="34" t="s">
        <v>159</v>
      </c>
      <c r="B27" s="34"/>
      <c r="C27" s="34"/>
      <c r="D27" s="34"/>
      <c r="E27" s="34"/>
      <c r="F27" s="34"/>
      <c r="G27" s="34"/>
      <c r="H27" s="34"/>
    </row>
    <row r="28" spans="1:8" ht="15.75" customHeight="1" x14ac:dyDescent="0.25">
      <c r="A28" s="21"/>
      <c r="B28" s="22" t="s">
        <v>160</v>
      </c>
      <c r="C28" s="54">
        <f>'Debt Schedule'!C28</f>
        <v>0</v>
      </c>
      <c r="D28" s="54">
        <f>'Debt Schedule'!D28</f>
        <v>0</v>
      </c>
      <c r="E28" s="54">
        <f>'Debt Schedule'!E28</f>
        <v>0</v>
      </c>
      <c r="F28" s="54">
        <f>'Debt Schedule'!F28</f>
        <v>0</v>
      </c>
      <c r="G28" s="54">
        <f>'Debt Schedule'!G28</f>
        <v>0</v>
      </c>
      <c r="H28" s="54">
        <f>'Debt Schedule'!H28</f>
        <v>0</v>
      </c>
    </row>
    <row r="29" spans="1:8" ht="15.75" customHeight="1" x14ac:dyDescent="0.25">
      <c r="A29" s="24"/>
      <c r="B29" s="25" t="s">
        <v>161</v>
      </c>
      <c r="C29" s="31">
        <f>'Income Statement'!C6*0.02</f>
        <v>0</v>
      </c>
      <c r="D29" s="31">
        <f>'Income Statement'!D6*0.02</f>
        <v>0</v>
      </c>
      <c r="E29" s="31">
        <f>'Income Statement'!E6*0.02</f>
        <v>0</v>
      </c>
      <c r="F29" s="31">
        <f>'Income Statement'!F6*0.02</f>
        <v>0</v>
      </c>
      <c r="G29" s="31">
        <f>'Income Statement'!G6*0.02</f>
        <v>0</v>
      </c>
      <c r="H29" s="31">
        <f>'Income Statement'!H6*0.02</f>
        <v>0</v>
      </c>
    </row>
    <row r="30" spans="1:8" ht="15.75" customHeight="1" x14ac:dyDescent="0.25">
      <c r="A30" s="59"/>
      <c r="B30" s="60" t="s">
        <v>162</v>
      </c>
      <c r="C30" s="61">
        <f t="shared" ref="C30:H30" si="5">C28+C29</f>
        <v>0</v>
      </c>
      <c r="D30" s="61">
        <f t="shared" si="5"/>
        <v>0</v>
      </c>
      <c r="E30" s="61">
        <f t="shared" si="5"/>
        <v>0</v>
      </c>
      <c r="F30" s="61">
        <f t="shared" si="5"/>
        <v>0</v>
      </c>
      <c r="G30" s="61">
        <f t="shared" si="5"/>
        <v>0</v>
      </c>
      <c r="H30" s="61">
        <f t="shared" si="5"/>
        <v>0</v>
      </c>
    </row>
    <row r="32" spans="1:8" ht="15.75" customHeight="1" x14ac:dyDescent="0.25">
      <c r="A32" s="27"/>
      <c r="B32" s="28" t="s">
        <v>163</v>
      </c>
      <c r="C32" s="29">
        <f t="shared" ref="C32:H32" si="6">C25+C30</f>
        <v>0</v>
      </c>
      <c r="D32" s="29">
        <f t="shared" si="6"/>
        <v>0</v>
      </c>
      <c r="E32" s="29">
        <f t="shared" si="6"/>
        <v>0</v>
      </c>
      <c r="F32" s="29">
        <f t="shared" si="6"/>
        <v>0</v>
      </c>
      <c r="G32" s="29">
        <f t="shared" si="6"/>
        <v>0</v>
      </c>
      <c r="H32" s="29">
        <f t="shared" si="6"/>
        <v>0</v>
      </c>
    </row>
    <row r="34" spans="1:8" ht="18" customHeight="1" x14ac:dyDescent="0.25">
      <c r="A34" s="34" t="s">
        <v>164</v>
      </c>
      <c r="B34" s="34"/>
      <c r="C34" s="34"/>
      <c r="D34" s="34"/>
      <c r="E34" s="34"/>
      <c r="F34" s="34"/>
      <c r="G34" s="34"/>
      <c r="H34" s="34"/>
    </row>
    <row r="35" spans="1:8" ht="15.75" customHeight="1" x14ac:dyDescent="0.25">
      <c r="A35" s="24"/>
      <c r="B35" s="25" t="s">
        <v>165</v>
      </c>
      <c r="C35" s="31">
        <f>Assumptions!C56</f>
        <v>0</v>
      </c>
      <c r="D35" s="31">
        <f>Assumptions!C56</f>
        <v>0</v>
      </c>
      <c r="E35" s="31">
        <f>Assumptions!C56</f>
        <v>0</v>
      </c>
      <c r="F35" s="31">
        <f>Assumptions!C56</f>
        <v>0</v>
      </c>
      <c r="G35" s="31">
        <f>Assumptions!C56</f>
        <v>0</v>
      </c>
      <c r="H35" s="31">
        <f>Assumptions!C56</f>
        <v>0</v>
      </c>
    </row>
    <row r="36" spans="1:8" ht="15.75" customHeight="1" x14ac:dyDescent="0.25">
      <c r="A36" s="21"/>
      <c r="B36" s="22" t="s">
        <v>166</v>
      </c>
      <c r="C36" s="54">
        <f>'Income Statement'!C31</f>
        <v>0</v>
      </c>
      <c r="D36" s="54">
        <f>C36+'Income Statement'!D31</f>
        <v>0</v>
      </c>
      <c r="E36" s="54">
        <f>D36+'Income Statement'!E31</f>
        <v>0</v>
      </c>
      <c r="F36" s="54">
        <f>E36+'Income Statement'!F31</f>
        <v>0</v>
      </c>
      <c r="G36" s="54">
        <f>F36+'Income Statement'!G31</f>
        <v>0</v>
      </c>
      <c r="H36" s="54">
        <f>G36+'Income Statement'!H31</f>
        <v>0</v>
      </c>
    </row>
    <row r="37" spans="1:8" ht="15.75" customHeight="1" x14ac:dyDescent="0.25">
      <c r="A37" s="59"/>
      <c r="B37" s="60" t="s">
        <v>167</v>
      </c>
      <c r="C37" s="61">
        <f t="shared" ref="C37:H37" si="7">C35+C36</f>
        <v>0</v>
      </c>
      <c r="D37" s="61">
        <f t="shared" si="7"/>
        <v>0</v>
      </c>
      <c r="E37" s="61">
        <f t="shared" si="7"/>
        <v>0</v>
      </c>
      <c r="F37" s="61">
        <f t="shared" si="7"/>
        <v>0</v>
      </c>
      <c r="G37" s="61">
        <f t="shared" si="7"/>
        <v>0</v>
      </c>
      <c r="H37" s="61">
        <f t="shared" si="7"/>
        <v>0</v>
      </c>
    </row>
    <row r="39" spans="1:8" ht="15.75" customHeight="1" x14ac:dyDescent="0.25">
      <c r="A39" s="27"/>
      <c r="B39" s="28" t="s">
        <v>168</v>
      </c>
      <c r="C39" s="29">
        <f t="shared" ref="C39:H39" si="8">C32+C37</f>
        <v>0</v>
      </c>
      <c r="D39" s="29">
        <f t="shared" si="8"/>
        <v>0</v>
      </c>
      <c r="E39" s="29">
        <f t="shared" si="8"/>
        <v>0</v>
      </c>
      <c r="F39" s="29">
        <f t="shared" si="8"/>
        <v>0</v>
      </c>
      <c r="G39" s="29">
        <f t="shared" si="8"/>
        <v>0</v>
      </c>
      <c r="H39" s="29">
        <f t="shared" si="8"/>
        <v>0</v>
      </c>
    </row>
    <row r="40" spans="1:8" ht="15.75" customHeight="1" x14ac:dyDescent="0.25">
      <c r="A40" s="21"/>
      <c r="B40" s="22" t="s">
        <v>169</v>
      </c>
      <c r="C40" s="54">
        <f t="shared" ref="C40:H40" si="9">C19-C39</f>
        <v>0</v>
      </c>
      <c r="D40" s="54">
        <f t="shared" si="9"/>
        <v>0</v>
      </c>
      <c r="E40" s="54">
        <f t="shared" si="9"/>
        <v>0</v>
      </c>
      <c r="F40" s="54">
        <f t="shared" si="9"/>
        <v>0</v>
      </c>
      <c r="G40" s="54">
        <f t="shared" si="9"/>
        <v>0</v>
      </c>
      <c r="H40" s="54">
        <f t="shared" si="9"/>
        <v>0</v>
      </c>
    </row>
  </sheetData>
  <mergeCells count="8">
    <mergeCell ref="A21:H21"/>
    <mergeCell ref="A27:H27"/>
    <mergeCell ref="A34:H34"/>
    <mergeCell ref="A1:H1"/>
    <mergeCell ref="A2:H2"/>
    <mergeCell ref="A3:H3"/>
    <mergeCell ref="A5:H5"/>
    <mergeCell ref="A12:H1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4053"/>
  </sheetPr>
  <dimension ref="A1:I43"/>
  <sheetViews>
    <sheetView showGridLines="0" zoomScaleNormal="100" workbookViewId="0">
      <pane xSplit="1" ySplit="4" topLeftCell="B36" activePane="bottomRight" state="frozen"/>
      <selection pane="topRight" activeCell="B1" sqref="B1"/>
      <selection pane="bottomLeft" activeCell="A5" sqref="A5"/>
      <selection pane="bottomRight" sqref="A1:I1"/>
    </sheetView>
  </sheetViews>
  <sheetFormatPr defaultColWidth="8.7109375" defaultRowHeight="15" x14ac:dyDescent="0.25"/>
  <cols>
    <col min="1" max="1" width="2" style="1" customWidth="1"/>
    <col min="2" max="2" width="40" style="1" customWidth="1"/>
    <col min="3" max="8" width="16" style="1" customWidth="1"/>
    <col min="9" max="9" width="12" style="1" customWidth="1"/>
    <col min="10" max="16384" width="8.7109375" style="1"/>
  </cols>
  <sheetData>
    <row r="1" spans="1:9" ht="36" customHeight="1" x14ac:dyDescent="0.25">
      <c r="A1" s="64" t="s">
        <v>170</v>
      </c>
      <c r="B1" s="64"/>
      <c r="C1" s="64"/>
      <c r="D1" s="64"/>
      <c r="E1" s="64"/>
      <c r="F1" s="64"/>
      <c r="G1" s="64"/>
      <c r="H1" s="64"/>
      <c r="I1" s="64"/>
    </row>
    <row r="2" spans="1:9" ht="6" customHeight="1" x14ac:dyDescent="0.25">
      <c r="A2" s="20"/>
      <c r="B2" s="20"/>
      <c r="C2" s="20"/>
      <c r="D2" s="20"/>
      <c r="E2" s="20"/>
      <c r="F2" s="20"/>
      <c r="G2" s="20"/>
      <c r="H2" s="20"/>
      <c r="I2" s="20"/>
    </row>
    <row r="3" spans="1:9" ht="12" customHeight="1" x14ac:dyDescent="0.25">
      <c r="A3" s="7"/>
      <c r="B3" s="7"/>
      <c r="C3" s="7"/>
      <c r="D3" s="7"/>
      <c r="E3" s="7"/>
      <c r="F3" s="7"/>
      <c r="G3" s="7"/>
      <c r="H3" s="7"/>
      <c r="I3" s="7"/>
    </row>
    <row r="4" spans="1:9" ht="21.75" customHeight="1" x14ac:dyDescent="0.25">
      <c r="B4" s="33"/>
      <c r="C4" s="33" t="s">
        <v>171</v>
      </c>
    </row>
    <row r="5" spans="1:9" ht="18" customHeight="1" x14ac:dyDescent="0.25">
      <c r="A5" s="34" t="s">
        <v>172</v>
      </c>
      <c r="B5" s="34"/>
      <c r="C5" s="34"/>
      <c r="D5" s="34"/>
      <c r="E5" s="34"/>
      <c r="F5" s="34"/>
      <c r="G5" s="34"/>
      <c r="H5" s="34"/>
      <c r="I5" s="34"/>
    </row>
    <row r="6" spans="1:9" ht="18" customHeight="1" x14ac:dyDescent="0.25">
      <c r="A6" s="21"/>
      <c r="B6" s="22" t="s">
        <v>47</v>
      </c>
      <c r="C6" s="54">
        <f>Assumptions!C12</f>
        <v>0</v>
      </c>
    </row>
    <row r="7" spans="1:9" ht="18" customHeight="1" x14ac:dyDescent="0.25">
      <c r="A7" s="24"/>
      <c r="B7" s="25" t="s">
        <v>173</v>
      </c>
      <c r="C7" s="31">
        <f>Assumptions!C14</f>
        <v>0</v>
      </c>
    </row>
    <row r="8" spans="1:9" ht="18" customHeight="1" x14ac:dyDescent="0.25">
      <c r="A8" s="27"/>
      <c r="B8" s="28" t="s">
        <v>174</v>
      </c>
      <c r="C8" s="62">
        <f>Assumptions!C56</f>
        <v>0</v>
      </c>
    </row>
    <row r="9" spans="1:9" ht="18" customHeight="1" x14ac:dyDescent="0.25">
      <c r="A9" s="24"/>
      <c r="B9" s="25" t="s">
        <v>175</v>
      </c>
      <c r="C9" s="31">
        <f>'Income Statement'!H21</f>
        <v>0</v>
      </c>
    </row>
    <row r="10" spans="1:9" ht="18" customHeight="1" x14ac:dyDescent="0.25">
      <c r="A10" s="21"/>
      <c r="B10" s="22" t="s">
        <v>176</v>
      </c>
      <c r="C10" s="84">
        <f>Assumptions!C10</f>
        <v>0</v>
      </c>
    </row>
    <row r="11" spans="1:9" ht="18" customHeight="1" x14ac:dyDescent="0.25">
      <c r="A11" s="24"/>
      <c r="B11" s="85" t="s">
        <v>177</v>
      </c>
      <c r="C11" s="86">
        <f>C9*C10</f>
        <v>0</v>
      </c>
    </row>
    <row r="12" spans="1:9" ht="18" customHeight="1" x14ac:dyDescent="0.25">
      <c r="A12" s="21"/>
      <c r="B12" s="22" t="s">
        <v>178</v>
      </c>
      <c r="C12" s="63">
        <f>'Debt Schedule'!H29</f>
        <v>0</v>
      </c>
    </row>
    <row r="13" spans="1:9" ht="18" customHeight="1" x14ac:dyDescent="0.25">
      <c r="A13" s="27"/>
      <c r="B13" s="28" t="s">
        <v>179</v>
      </c>
      <c r="C13" s="29">
        <f>C11+C12</f>
        <v>0</v>
      </c>
    </row>
    <row r="14" spans="1:9" ht="18" customHeight="1" x14ac:dyDescent="0.25">
      <c r="B14" s="1" t="s">
        <v>180</v>
      </c>
      <c r="C14" s="65">
        <f>-Assumptions!$C$58*C13</f>
        <v>0</v>
      </c>
    </row>
    <row r="15" spans="1:9" ht="15" customHeight="1" x14ac:dyDescent="0.25">
      <c r="A15" s="21"/>
      <c r="B15" s="87" t="s">
        <v>181</v>
      </c>
      <c r="C15" s="63">
        <f>C13+C14</f>
        <v>0</v>
      </c>
    </row>
    <row r="16" spans="1:9" ht="18" customHeight="1" x14ac:dyDescent="0.25">
      <c r="A16" s="7"/>
      <c r="B16" s="7"/>
      <c r="C16" s="7"/>
      <c r="D16" s="7"/>
      <c r="E16" s="7"/>
      <c r="F16" s="7"/>
      <c r="G16" s="7"/>
      <c r="H16" s="7"/>
      <c r="I16" s="7"/>
    </row>
    <row r="17" spans="1:9" ht="18" customHeight="1" x14ac:dyDescent="0.25">
      <c r="A17" s="34" t="s">
        <v>182</v>
      </c>
      <c r="B17" s="71"/>
      <c r="C17" s="71"/>
      <c r="D17" s="71"/>
      <c r="E17" s="71"/>
      <c r="F17" s="71"/>
      <c r="G17" s="71"/>
      <c r="H17" s="71"/>
      <c r="I17" s="71"/>
    </row>
    <row r="18" spans="1:9" ht="18" customHeight="1" x14ac:dyDescent="0.25">
      <c r="A18" s="27"/>
      <c r="B18" s="28" t="s">
        <v>183</v>
      </c>
      <c r="C18" s="88" t="str">
        <f>IF(C8=0,"-",C15/C8)</f>
        <v>-</v>
      </c>
    </row>
    <row r="19" spans="1:9" ht="18" customHeight="1" x14ac:dyDescent="0.25">
      <c r="A19" s="27"/>
      <c r="B19" s="28" t="s">
        <v>184</v>
      </c>
      <c r="C19" s="89" t="str">
        <f>IFERROR(RATE(Assumptions!C7,0,-C8,C15),"N/A")</f>
        <v>N/A</v>
      </c>
    </row>
    <row r="20" spans="1:9" ht="18" customHeight="1" x14ac:dyDescent="0.25">
      <c r="A20" s="24"/>
      <c r="B20" s="25" t="s">
        <v>185</v>
      </c>
      <c r="C20" s="90" t="str">
        <f>IF(C8=0,"-",(C15-C8)/C8/Assumptions!C7)</f>
        <v>-</v>
      </c>
    </row>
    <row r="21" spans="1:9" ht="18" customHeight="1" x14ac:dyDescent="0.25">
      <c r="A21" s="21"/>
      <c r="B21" s="22" t="s">
        <v>186</v>
      </c>
      <c r="C21" s="58" t="str">
        <f>IF('Income Statement'!C21=0,"-",('Income Statement'!H21-'Income Statement'!C21)/'Income Statement'!C21)</f>
        <v>-</v>
      </c>
    </row>
    <row r="22" spans="1:9" ht="18" customHeight="1" x14ac:dyDescent="0.25">
      <c r="A22" s="24"/>
      <c r="B22" s="25" t="s">
        <v>187</v>
      </c>
      <c r="C22" s="31">
        <f>('Income Statement'!H21-'Income Statement'!C21)*Assumptions!C10</f>
        <v>0</v>
      </c>
    </row>
    <row r="23" spans="1:9" ht="18" customHeight="1" x14ac:dyDescent="0.25">
      <c r="A23" s="21"/>
      <c r="B23" s="22" t="s">
        <v>188</v>
      </c>
      <c r="C23" s="54">
        <f>(Assumptions!C10-Assumptions!C9)*'Income Statement'!H21</f>
        <v>0</v>
      </c>
    </row>
    <row r="24" spans="1:9" ht="18" customHeight="1" x14ac:dyDescent="0.25">
      <c r="A24" s="24"/>
      <c r="B24" s="25" t="s">
        <v>189</v>
      </c>
      <c r="C24" s="66">
        <f>-('Debt Schedule'!H29-'Debt Schedule'!C28)</f>
        <v>0</v>
      </c>
    </row>
    <row r="25" spans="1:9" ht="15" customHeight="1" x14ac:dyDescent="0.25">
      <c r="A25" s="27"/>
      <c r="B25" s="28" t="s">
        <v>190</v>
      </c>
      <c r="C25" s="96" t="str">
        <f>IFERROR(C21+C22+C23,"N/A")</f>
        <v>N/A</v>
      </c>
    </row>
    <row r="26" spans="1:9" ht="18" customHeight="1" x14ac:dyDescent="0.25">
      <c r="A26" s="7"/>
      <c r="B26" s="7"/>
      <c r="C26" s="7"/>
      <c r="D26" s="7"/>
      <c r="E26" s="7"/>
      <c r="F26" s="7"/>
      <c r="G26" s="7"/>
      <c r="H26" s="7"/>
      <c r="I26" s="7"/>
    </row>
    <row r="27" spans="1:9" ht="18" customHeight="1" x14ac:dyDescent="0.25">
      <c r="A27" s="34" t="s">
        <v>191</v>
      </c>
      <c r="B27" s="71"/>
      <c r="C27" s="71"/>
      <c r="D27" s="71"/>
      <c r="E27" s="71"/>
      <c r="F27" s="71"/>
      <c r="G27" s="71"/>
      <c r="H27" s="71"/>
      <c r="I27" s="71"/>
    </row>
    <row r="28" spans="1:9" ht="16.5" customHeight="1" x14ac:dyDescent="0.25">
      <c r="B28" s="97" t="s">
        <v>192</v>
      </c>
      <c r="C28" s="98">
        <v>8</v>
      </c>
      <c r="D28" s="98">
        <v>9</v>
      </c>
      <c r="E28" s="98">
        <v>10</v>
      </c>
      <c r="F28" s="98">
        <v>11</v>
      </c>
      <c r="G28" s="98">
        <v>12</v>
      </c>
    </row>
    <row r="29" spans="1:9" ht="16.5" customHeight="1" x14ac:dyDescent="0.25">
      <c r="A29" s="91"/>
      <c r="B29" s="98">
        <v>7</v>
      </c>
      <c r="C29" s="92" t="str">
        <f>IFERROR(RATE(Assumptions!$C$7,0,-(8*Assumptions!$C$11-Assumptions!$C$13+Assumptions!$C$55),(1-Assumptions!$C$58)*(7*'Income Statement'!$H$21+'Debt Schedule'!$H$29)),"N/A")</f>
        <v>N/A</v>
      </c>
      <c r="D29" s="92" t="str">
        <f>IFERROR(RATE(Assumptions!$C$7,0,-(9*Assumptions!$C$11-Assumptions!$C$13+Assumptions!$C$55),(1-Assumptions!$C$58)*(7*'Income Statement'!$H$21+'Debt Schedule'!$H$29)),"N/A")</f>
        <v>N/A</v>
      </c>
      <c r="E29" s="92" t="str">
        <f>IFERROR(RATE(Assumptions!$C$7,0,-(10*Assumptions!$C$11-Assumptions!$C$13+Assumptions!$C$55),(1-Assumptions!$C$58)*(7*'Income Statement'!$H$21+'Debt Schedule'!$H$29)),"N/A")</f>
        <v>N/A</v>
      </c>
      <c r="F29" s="92" t="str">
        <f>IFERROR(RATE(Assumptions!$C$7,0,-(11*Assumptions!$C$11-Assumptions!$C$13+Assumptions!$C$55),(1-Assumptions!$C$58)*(7*'Income Statement'!$H$21+'Debt Schedule'!$H$29)),"N/A")</f>
        <v>N/A</v>
      </c>
      <c r="G29" s="92" t="str">
        <f>IFERROR(RATE(Assumptions!$C$7,0,-(12*Assumptions!$C$11-Assumptions!$C$13+Assumptions!$C$55),(1-Assumptions!$C$58)*(7*'Income Statement'!$H$21+'Debt Schedule'!$H$29)),"N/A")</f>
        <v>N/A</v>
      </c>
    </row>
    <row r="30" spans="1:9" ht="16.5" customHeight="1" x14ac:dyDescent="0.25">
      <c r="A30" s="91"/>
      <c r="B30" s="98">
        <v>8</v>
      </c>
      <c r="C30" s="92" t="str">
        <f>IFERROR(RATE(Assumptions!$C$7,0,-(8*Assumptions!$C$11-Assumptions!$C$13+Assumptions!$C$55),(1-Assumptions!$C$58)*(8*'Income Statement'!$H$21+'Debt Schedule'!$H$29)),"N/A")</f>
        <v>N/A</v>
      </c>
      <c r="D30" s="92" t="str">
        <f>IFERROR(RATE(Assumptions!$C$7,0,-(9*Assumptions!$C$11-Assumptions!$C$13+Assumptions!$C$55),(1-Assumptions!$C$58)*(8*'Income Statement'!$H$21+'Debt Schedule'!$H$29)),"N/A")</f>
        <v>N/A</v>
      </c>
      <c r="E30" s="92" t="str">
        <f>IFERROR(RATE(Assumptions!$C$7,0,-(10*Assumptions!$C$11-Assumptions!$C$13+Assumptions!$C$55),(1-Assumptions!$C$58)*(8*'Income Statement'!$H$21+'Debt Schedule'!$H$29)),"N/A")</f>
        <v>N/A</v>
      </c>
      <c r="F30" s="92" t="str">
        <f>IFERROR(RATE(Assumptions!$C$7,0,-(11*Assumptions!$C$11-Assumptions!$C$13+Assumptions!$C$55),(1-Assumptions!$C$58)*(8*'Income Statement'!$H$21+'Debt Schedule'!$H$29)),"N/A")</f>
        <v>N/A</v>
      </c>
      <c r="G30" s="92" t="str">
        <f>IFERROR(RATE(Assumptions!$C$7,0,-(12*Assumptions!$C$11-Assumptions!$C$13+Assumptions!$C$55),(1-Assumptions!$C$58)*(8*'Income Statement'!$H$21+'Debt Schedule'!$H$29)),"N/A")</f>
        <v>N/A</v>
      </c>
    </row>
    <row r="31" spans="1:9" ht="16.5" customHeight="1" x14ac:dyDescent="0.25">
      <c r="A31" s="91"/>
      <c r="B31" s="98">
        <v>9</v>
      </c>
      <c r="C31" s="93" t="str">
        <f>IFERROR(RATE(Assumptions!$C$7,0,-(8*Assumptions!$C$11-Assumptions!$C$13+Assumptions!$C$55),(1-Assumptions!$C$58)*(9*'Income Statement'!$H$21+'Debt Schedule'!$H$29)),"N/A")</f>
        <v>N/A</v>
      </c>
      <c r="D31" s="93" t="str">
        <f>IFERROR(RATE(Assumptions!$C$7,0,-(9*Assumptions!$C$11-Assumptions!$C$13+Assumptions!$C$55),(1-Assumptions!$C$58)*(9*'Income Statement'!$H$21+'Debt Schedule'!$H$29)),"N/A")</f>
        <v>N/A</v>
      </c>
      <c r="E31" s="93" t="str">
        <f>IFERROR(RATE(Assumptions!$C$7,0,-(10*Assumptions!$C$11-Assumptions!$C$13+Assumptions!$C$55),(1-Assumptions!$C$58)*(9*'Income Statement'!$H$21+'Debt Schedule'!$H$29)),"N/A")</f>
        <v>N/A</v>
      </c>
      <c r="F31" s="93" t="str">
        <f>IFERROR(RATE(Assumptions!$C$7,0,-(11*Assumptions!$C$11-Assumptions!$C$13+Assumptions!$C$55),(1-Assumptions!$C$58)*(9*'Income Statement'!$H$21+'Debt Schedule'!$H$29)),"N/A")</f>
        <v>N/A</v>
      </c>
      <c r="G31" s="93" t="str">
        <f>IFERROR(RATE(Assumptions!$C$7,0,-(12*Assumptions!$C$11-Assumptions!$C$13+Assumptions!$C$55),(1-Assumptions!$C$58)*(9*'Income Statement'!$H$21+'Debt Schedule'!$H$29)),"N/A")</f>
        <v>N/A</v>
      </c>
    </row>
    <row r="32" spans="1:9" ht="16.5" customHeight="1" x14ac:dyDescent="0.25">
      <c r="A32" s="91"/>
      <c r="B32" s="98">
        <v>10</v>
      </c>
      <c r="C32" s="93" t="str">
        <f>IFERROR(RATE(Assumptions!$C$7,0,-(8*Assumptions!$C$11-Assumptions!$C$13+Assumptions!$C$55),(1-Assumptions!$C$58)*(10*'Income Statement'!$H$21+'Debt Schedule'!$H$29)),"N/A")</f>
        <v>N/A</v>
      </c>
      <c r="D32" s="93" t="str">
        <f>IFERROR(RATE(Assumptions!$C$7,0,-(9*Assumptions!$C$11-Assumptions!$C$13+Assumptions!$C$55),(1-Assumptions!$C$58)*(10*'Income Statement'!$H$21+'Debt Schedule'!$H$29)),"N/A")</f>
        <v>N/A</v>
      </c>
      <c r="E32" s="93" t="str">
        <f>IFERROR(RATE(Assumptions!$C$7,0,-(10*Assumptions!$C$11-Assumptions!$C$13+Assumptions!$C$55),(1-Assumptions!$C$58)*(10*'Income Statement'!$H$21+'Debt Schedule'!$H$29)),"N/A")</f>
        <v>N/A</v>
      </c>
      <c r="F32" s="93" t="str">
        <f>IFERROR(RATE(Assumptions!$C$7,0,-(11*Assumptions!$C$11-Assumptions!$C$13+Assumptions!$C$55),(1-Assumptions!$C$58)*(10*'Income Statement'!$H$21+'Debt Schedule'!$H$29)),"N/A")</f>
        <v>N/A</v>
      </c>
      <c r="G32" s="93" t="str">
        <f>IFERROR(RATE(Assumptions!$C$7,0,-(12*Assumptions!$C$11-Assumptions!$C$13+Assumptions!$C$55),(1-Assumptions!$C$58)*(10*'Income Statement'!$H$21+'Debt Schedule'!$H$29)),"N/A")</f>
        <v>N/A</v>
      </c>
    </row>
    <row r="33" spans="1:9" ht="16.5" customHeight="1" x14ac:dyDescent="0.25">
      <c r="A33" s="91"/>
      <c r="B33" s="98">
        <v>11</v>
      </c>
      <c r="C33" s="93" t="str">
        <f>IFERROR(RATE(Assumptions!$C$7,0,-(8*Assumptions!$C$11-Assumptions!$C$13+Assumptions!$C$55),(1-Assumptions!$C$58)*(11*'Income Statement'!$H$21+'Debt Schedule'!$H$29)),"N/A")</f>
        <v>N/A</v>
      </c>
      <c r="D33" s="93" t="str">
        <f>IFERROR(RATE(Assumptions!$C$7,0,-(9*Assumptions!$C$11-Assumptions!$C$13+Assumptions!$C$55),(1-Assumptions!$C$58)*(11*'Income Statement'!$H$21+'Debt Schedule'!$H$29)),"N/A")</f>
        <v>N/A</v>
      </c>
      <c r="E33" s="93" t="str">
        <f>IFERROR(RATE(Assumptions!$C$7,0,-(10*Assumptions!$C$11-Assumptions!$C$13+Assumptions!$C$55),(1-Assumptions!$C$58)*(11*'Income Statement'!$H$21+'Debt Schedule'!$H$29)),"N/A")</f>
        <v>N/A</v>
      </c>
      <c r="F33" s="93" t="str">
        <f>IFERROR(RATE(Assumptions!$C$7,0,-(11*Assumptions!$C$11-Assumptions!$C$13+Assumptions!$C$55),(1-Assumptions!$C$58)*(11*'Income Statement'!$H$21+'Debt Schedule'!$H$29)),"N/A")</f>
        <v>N/A</v>
      </c>
      <c r="G33" s="93" t="str">
        <f>IFERROR(RATE(Assumptions!$C$7,0,-(12*Assumptions!$C$11-Assumptions!$C$13+Assumptions!$C$55),(1-Assumptions!$C$58)*(11*'Income Statement'!$H$21+'Debt Schedule'!$H$29)),"N/A")</f>
        <v>N/A</v>
      </c>
    </row>
    <row r="34" spans="1:9" ht="15" customHeight="1" x14ac:dyDescent="0.25">
      <c r="A34" s="91"/>
      <c r="B34" s="98">
        <v>12</v>
      </c>
      <c r="C34" s="93" t="str">
        <f>IFERROR(RATE(Assumptions!$C$7,0,-(8*Assumptions!$C$11-Assumptions!$C$13+Assumptions!$C$55),(1-Assumptions!$C$58)*(12*'Income Statement'!$H$21+'Debt Schedule'!$H$29)),"N/A")</f>
        <v>N/A</v>
      </c>
      <c r="D34" s="93" t="str">
        <f>IFERROR(RATE(Assumptions!$C$7,0,-(9*Assumptions!$C$11-Assumptions!$C$13+Assumptions!$C$55),(1-Assumptions!$C$58)*(12*'Income Statement'!$H$21+'Debt Schedule'!$H$29)),"N/A")</f>
        <v>N/A</v>
      </c>
      <c r="E34" s="93" t="str">
        <f>IFERROR(RATE(Assumptions!$C$7,0,-(10*Assumptions!$C$11-Assumptions!$C$13+Assumptions!$C$55),(1-Assumptions!$C$58)*(12*'Income Statement'!$H$21+'Debt Schedule'!$H$29)),"N/A")</f>
        <v>N/A</v>
      </c>
      <c r="F34" s="93" t="str">
        <f>IFERROR(RATE(Assumptions!$C$7,0,-(11*Assumptions!$C$11-Assumptions!$C$13+Assumptions!$C$55),(1-Assumptions!$C$58)*(12*'Income Statement'!$H$21+'Debt Schedule'!$H$29)),"N/A")</f>
        <v>N/A</v>
      </c>
      <c r="G34" s="93" t="str">
        <f>IFERROR(RATE(Assumptions!$C$7,0,-(12*Assumptions!$C$11-Assumptions!$C$13+Assumptions!$C$55),(1-Assumptions!$C$58)*(12*'Income Statement'!$H$21+'Debt Schedule'!$H$29)),"N/A")</f>
        <v>N/A</v>
      </c>
    </row>
    <row r="35" spans="1:9" ht="18" customHeight="1" x14ac:dyDescent="0.25">
      <c r="A35" s="7"/>
      <c r="B35" s="7"/>
      <c r="C35" s="7"/>
      <c r="D35" s="7"/>
      <c r="E35" s="7"/>
      <c r="F35" s="7"/>
      <c r="G35" s="7"/>
      <c r="H35" s="7"/>
      <c r="I35" s="7"/>
    </row>
    <row r="36" spans="1:9" ht="18" customHeight="1" x14ac:dyDescent="0.25">
      <c r="A36" s="34" t="s">
        <v>193</v>
      </c>
      <c r="B36" s="71"/>
      <c r="C36" s="71"/>
      <c r="D36" s="71"/>
      <c r="E36" s="71"/>
      <c r="F36" s="71"/>
      <c r="G36" s="71"/>
      <c r="H36" s="71"/>
      <c r="I36" s="71"/>
    </row>
    <row r="37" spans="1:9" ht="16.5" customHeight="1" x14ac:dyDescent="0.25">
      <c r="B37" s="97" t="s">
        <v>194</v>
      </c>
      <c r="C37" s="98">
        <v>8</v>
      </c>
      <c r="D37" s="98">
        <v>9</v>
      </c>
      <c r="E37" s="98">
        <v>10</v>
      </c>
      <c r="F37" s="98">
        <v>11</v>
      </c>
      <c r="G37" s="98">
        <v>12</v>
      </c>
    </row>
    <row r="38" spans="1:9" ht="16.5" customHeight="1" x14ac:dyDescent="0.25">
      <c r="A38" s="91"/>
      <c r="B38" s="98">
        <v>7</v>
      </c>
      <c r="C38" s="94" t="str">
        <f>IFERROR((1-Assumptions!$C$58)*(7*'Income Statement'!$H$21+'Debt Schedule'!$H$29)/(8*Assumptions!$C$11-Assumptions!$C$13+Assumptions!$C$55),"N/A")</f>
        <v>N/A</v>
      </c>
      <c r="D38" s="94" t="str">
        <f>IFERROR((1-Assumptions!$C$58)*(7*'Income Statement'!$H$21+'Debt Schedule'!$H$29)/(9*Assumptions!$C$11-Assumptions!$C$13+Assumptions!$C$55),"N/A")</f>
        <v>N/A</v>
      </c>
      <c r="E38" s="94" t="str">
        <f>IFERROR((1-Assumptions!$C$58)*(7*'Income Statement'!$H$21+'Debt Schedule'!$H$29)/(10*Assumptions!$C$11-Assumptions!$C$13+Assumptions!$C$55),"N/A")</f>
        <v>N/A</v>
      </c>
      <c r="F38" s="94" t="str">
        <f>IFERROR((1-Assumptions!$C$58)*(7*'Income Statement'!$H$21+'Debt Schedule'!$H$29)/(11*Assumptions!$C$11-Assumptions!$C$13+Assumptions!$C$55),"N/A")</f>
        <v>N/A</v>
      </c>
      <c r="G38" s="94" t="str">
        <f>IFERROR((1-Assumptions!$C$58)*(7*'Income Statement'!$H$21+'Debt Schedule'!$H$29)/(12*Assumptions!$C$11-Assumptions!$C$13+Assumptions!$C$55),"N/A")</f>
        <v>N/A</v>
      </c>
    </row>
    <row r="39" spans="1:9" ht="16.5" customHeight="1" x14ac:dyDescent="0.25">
      <c r="A39" s="91"/>
      <c r="B39" s="98">
        <v>8</v>
      </c>
      <c r="C39" s="94" t="str">
        <f>IFERROR((1-Assumptions!$C$58)*(8*'Income Statement'!$H$21+'Debt Schedule'!$H$29)/(8*Assumptions!$C$11-Assumptions!$C$13+Assumptions!$C$55),"N/A")</f>
        <v>N/A</v>
      </c>
      <c r="D39" s="94" t="str">
        <f>IFERROR((1-Assumptions!$C$58)*(8*'Income Statement'!$H$21+'Debt Schedule'!$H$29)/(9*Assumptions!$C$11-Assumptions!$C$13+Assumptions!$C$55),"N/A")</f>
        <v>N/A</v>
      </c>
      <c r="E39" s="94" t="str">
        <f>IFERROR((1-Assumptions!$C$58)*(8*'Income Statement'!$H$21+'Debt Schedule'!$H$29)/(10*Assumptions!$C$11-Assumptions!$C$13+Assumptions!$C$55),"N/A")</f>
        <v>N/A</v>
      </c>
      <c r="F39" s="94" t="str">
        <f>IFERROR((1-Assumptions!$C$58)*(8*'Income Statement'!$H$21+'Debt Schedule'!$H$29)/(11*Assumptions!$C$11-Assumptions!$C$13+Assumptions!$C$55),"N/A")</f>
        <v>N/A</v>
      </c>
      <c r="G39" s="94" t="str">
        <f>IFERROR((1-Assumptions!$C$58)*(8*'Income Statement'!$H$21+'Debt Schedule'!$H$29)/(12*Assumptions!$C$11-Assumptions!$C$13+Assumptions!$C$55),"N/A")</f>
        <v>N/A</v>
      </c>
    </row>
    <row r="40" spans="1:9" ht="16.5" customHeight="1" x14ac:dyDescent="0.25">
      <c r="A40" s="91"/>
      <c r="B40" s="98">
        <v>9</v>
      </c>
      <c r="C40" s="95" t="str">
        <f>IFERROR((1-Assumptions!$C$58)*(9*'Income Statement'!$H$21+'Debt Schedule'!$H$29)/(8*Assumptions!$C$11-Assumptions!$C$13+Assumptions!$C$55),"N/A")</f>
        <v>N/A</v>
      </c>
      <c r="D40" s="95" t="str">
        <f>IFERROR((1-Assumptions!$C$58)*(9*'Income Statement'!$H$21+'Debt Schedule'!$H$29)/(9*Assumptions!$C$11-Assumptions!$C$13+Assumptions!$C$55),"N/A")</f>
        <v>N/A</v>
      </c>
      <c r="E40" s="95" t="str">
        <f>IFERROR((1-Assumptions!$C$58)*(9*'Income Statement'!$H$21+'Debt Schedule'!$H$29)/(10*Assumptions!$C$11-Assumptions!$C$13+Assumptions!$C$55),"N/A")</f>
        <v>N/A</v>
      </c>
      <c r="F40" s="95" t="str">
        <f>IFERROR((1-Assumptions!$C$58)*(9*'Income Statement'!$H$21+'Debt Schedule'!$H$29)/(11*Assumptions!$C$11-Assumptions!$C$13+Assumptions!$C$55),"N/A")</f>
        <v>N/A</v>
      </c>
      <c r="G40" s="95" t="str">
        <f>IFERROR((1-Assumptions!$C$58)*(9*'Income Statement'!$H$21+'Debt Schedule'!$H$29)/(12*Assumptions!$C$11-Assumptions!$C$13+Assumptions!$C$55),"N/A")</f>
        <v>N/A</v>
      </c>
    </row>
    <row r="41" spans="1:9" ht="16.5" customHeight="1" x14ac:dyDescent="0.25">
      <c r="A41" s="91"/>
      <c r="B41" s="98">
        <v>10</v>
      </c>
      <c r="C41" s="95" t="str">
        <f>IFERROR((1-Assumptions!$C$58)*(10*'Income Statement'!$H$21+'Debt Schedule'!$H$29)/(8*Assumptions!$C$11-Assumptions!$C$13+Assumptions!$C$55),"N/A")</f>
        <v>N/A</v>
      </c>
      <c r="D41" s="95" t="str">
        <f>IFERROR((1-Assumptions!$C$58)*(10*'Income Statement'!$H$21+'Debt Schedule'!$H$29)/(9*Assumptions!$C$11-Assumptions!$C$13+Assumptions!$C$55),"N/A")</f>
        <v>N/A</v>
      </c>
      <c r="E41" s="95" t="str">
        <f>IFERROR((1-Assumptions!$C$58)*(10*'Income Statement'!$H$21+'Debt Schedule'!$H$29)/(10*Assumptions!$C$11-Assumptions!$C$13+Assumptions!$C$55),"N/A")</f>
        <v>N/A</v>
      </c>
      <c r="F41" s="95" t="str">
        <f>IFERROR((1-Assumptions!$C$58)*(10*'Income Statement'!$H$21+'Debt Schedule'!$H$29)/(11*Assumptions!$C$11-Assumptions!$C$13+Assumptions!$C$55),"N/A")</f>
        <v>N/A</v>
      </c>
      <c r="G41" s="95" t="str">
        <f>IFERROR((1-Assumptions!$C$58)*(10*'Income Statement'!$H$21+'Debt Schedule'!$H$29)/(12*Assumptions!$C$11-Assumptions!$C$13+Assumptions!$C$55),"N/A")</f>
        <v>N/A</v>
      </c>
    </row>
    <row r="42" spans="1:9" ht="16.5" customHeight="1" x14ac:dyDescent="0.25">
      <c r="A42" s="91"/>
      <c r="B42" s="98">
        <v>11</v>
      </c>
      <c r="C42" s="95" t="str">
        <f>IFERROR((1-Assumptions!$C$58)*(11*'Income Statement'!$H$21+'Debt Schedule'!$H$29)/(8*Assumptions!$C$11-Assumptions!$C$13+Assumptions!$C$55),"N/A")</f>
        <v>N/A</v>
      </c>
      <c r="D42" s="95" t="str">
        <f>IFERROR((1-Assumptions!$C$58)*(11*'Income Statement'!$H$21+'Debt Schedule'!$H$29)/(9*Assumptions!$C$11-Assumptions!$C$13+Assumptions!$C$55),"N/A")</f>
        <v>N/A</v>
      </c>
      <c r="E42" s="95" t="str">
        <f>IFERROR((1-Assumptions!$C$58)*(11*'Income Statement'!$H$21+'Debt Schedule'!$H$29)/(10*Assumptions!$C$11-Assumptions!$C$13+Assumptions!$C$55),"N/A")</f>
        <v>N/A</v>
      </c>
      <c r="F42" s="95" t="str">
        <f>IFERROR((1-Assumptions!$C$58)*(11*'Income Statement'!$H$21+'Debt Schedule'!$H$29)/(11*Assumptions!$C$11-Assumptions!$C$13+Assumptions!$C$55),"N/A")</f>
        <v>N/A</v>
      </c>
      <c r="G42" s="95" t="str">
        <f>IFERROR((1-Assumptions!$C$58)*(11*'Income Statement'!$H$21+'Debt Schedule'!$H$29)/(12*Assumptions!$C$11-Assumptions!$C$13+Assumptions!$C$55),"N/A")</f>
        <v>N/A</v>
      </c>
    </row>
    <row r="43" spans="1:9" ht="15" customHeight="1" x14ac:dyDescent="0.25">
      <c r="A43" s="91"/>
      <c r="B43" s="98">
        <v>12</v>
      </c>
      <c r="C43" s="95" t="str">
        <f>IFERROR((1-Assumptions!$C$58)*(12*'Income Statement'!$H$21+'Debt Schedule'!$H$29)/(8*Assumptions!$C$11-Assumptions!$C$13+Assumptions!$C$55),"N/A")</f>
        <v>N/A</v>
      </c>
      <c r="D43" s="95" t="str">
        <f>IFERROR((1-Assumptions!$C$58)*(12*'Income Statement'!$H$21+'Debt Schedule'!$H$29)/(9*Assumptions!$C$11-Assumptions!$C$13+Assumptions!$C$55),"N/A")</f>
        <v>N/A</v>
      </c>
      <c r="E43" s="95" t="str">
        <f>IFERROR((1-Assumptions!$C$58)*(12*'Income Statement'!$H$21+'Debt Schedule'!$H$29)/(10*Assumptions!$C$11-Assumptions!$C$13+Assumptions!$C$55),"N/A")</f>
        <v>N/A</v>
      </c>
      <c r="F43" s="95" t="str">
        <f>IFERROR((1-Assumptions!$C$58)*(12*'Income Statement'!$H$21+'Debt Schedule'!$H$29)/(11*Assumptions!$C$11-Assumptions!$C$13+Assumptions!$C$55),"N/A")</f>
        <v>N/A</v>
      </c>
      <c r="G43" s="95" t="str">
        <f>IFERROR((1-Assumptions!$C$58)*(12*'Income Statement'!$H$21+'Debt Schedule'!$H$29)/(12*Assumptions!$C$11-Assumptions!$C$13+Assumptions!$C$55),"N/A")</f>
        <v>N/A</v>
      </c>
    </row>
  </sheetData>
  <mergeCells count="10">
    <mergeCell ref="A36:I36"/>
    <mergeCell ref="A26:I26"/>
    <mergeCell ref="A35:I35"/>
    <mergeCell ref="A1:I1"/>
    <mergeCell ref="A2:I2"/>
    <mergeCell ref="A3:I3"/>
    <mergeCell ref="A5:I5"/>
    <mergeCell ref="A16:I16"/>
    <mergeCell ref="A17:I17"/>
    <mergeCell ref="A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C2833"/>
  </sheetPr>
  <dimension ref="A1:F12"/>
  <sheetViews>
    <sheetView showGridLines="0" zoomScaleNormal="100" workbookViewId="0">
      <selection sqref="A1:F1"/>
    </sheetView>
  </sheetViews>
  <sheetFormatPr defaultColWidth="8.7109375" defaultRowHeight="15" x14ac:dyDescent="0.25"/>
  <cols>
    <col min="1" max="1" width="2" style="1" customWidth="1"/>
    <col min="2" max="2" width="36" style="1" customWidth="1"/>
    <col min="3" max="3" width="16" style="1" customWidth="1"/>
    <col min="4" max="4" width="4" style="1" customWidth="1"/>
    <col min="5" max="5" width="36" style="1" customWidth="1"/>
    <col min="6" max="6" width="16" style="1" customWidth="1"/>
    <col min="7" max="16384" width="8.7109375" style="1"/>
  </cols>
  <sheetData>
    <row r="1" spans="1:6" ht="36" customHeight="1" x14ac:dyDescent="0.25">
      <c r="A1" s="64" t="s">
        <v>195</v>
      </c>
      <c r="B1" s="64"/>
      <c r="C1" s="64"/>
      <c r="D1" s="64"/>
      <c r="E1" s="64"/>
      <c r="F1" s="64"/>
    </row>
    <row r="2" spans="1:6" ht="6" customHeight="1" x14ac:dyDescent="0.25">
      <c r="A2" s="20"/>
      <c r="B2" s="20"/>
      <c r="C2" s="20"/>
      <c r="D2" s="20"/>
      <c r="E2" s="20"/>
      <c r="F2" s="20"/>
    </row>
    <row r="3" spans="1:6" ht="12" customHeight="1" x14ac:dyDescent="0.25">
      <c r="A3" s="7"/>
      <c r="B3" s="7"/>
      <c r="C3" s="7"/>
      <c r="D3" s="7"/>
      <c r="E3" s="7"/>
      <c r="F3" s="7"/>
    </row>
    <row r="4" spans="1:6" ht="21.75" customHeight="1" x14ac:dyDescent="0.25">
      <c r="B4" s="33" t="s">
        <v>196</v>
      </c>
      <c r="C4" s="33" t="s">
        <v>197</v>
      </c>
      <c r="E4" s="33" t="s">
        <v>198</v>
      </c>
      <c r="F4" s="33" t="s">
        <v>199</v>
      </c>
    </row>
    <row r="5" spans="1:6" ht="15.75" customHeight="1" x14ac:dyDescent="0.25">
      <c r="A5" s="24"/>
      <c r="B5" s="99" t="s">
        <v>34</v>
      </c>
      <c r="C5" s="31">
        <f>Assumptions!C33</f>
        <v>0</v>
      </c>
      <c r="D5" s="24"/>
      <c r="E5" s="99" t="s">
        <v>200</v>
      </c>
      <c r="F5" s="31">
        <f>Assumptions!C14</f>
        <v>0</v>
      </c>
    </row>
    <row r="6" spans="1:6" ht="15.75" customHeight="1" x14ac:dyDescent="0.25">
      <c r="A6" s="21"/>
      <c r="B6" s="100" t="s">
        <v>35</v>
      </c>
      <c r="C6" s="54">
        <f>Assumptions!C34</f>
        <v>0</v>
      </c>
      <c r="D6" s="21"/>
      <c r="E6" s="100" t="s">
        <v>201</v>
      </c>
      <c r="F6" s="54">
        <f>Assumptions!C53</f>
        <v>0</v>
      </c>
    </row>
    <row r="7" spans="1:6" ht="15.75" customHeight="1" thickBot="1" x14ac:dyDescent="0.3">
      <c r="A7" s="24"/>
      <c r="B7" s="99" t="s">
        <v>36</v>
      </c>
      <c r="C7" s="31">
        <f>Assumptions!C35</f>
        <v>0</v>
      </c>
      <c r="D7" s="24"/>
      <c r="E7" s="99" t="s">
        <v>202</v>
      </c>
      <c r="F7" s="82">
        <f>Assumptions!C54</f>
        <v>0</v>
      </c>
    </row>
    <row r="8" spans="1:6" ht="15.75" customHeight="1" thickTop="1" thickBot="1" x14ac:dyDescent="0.3">
      <c r="A8" s="21"/>
      <c r="B8" s="100" t="s">
        <v>37</v>
      </c>
      <c r="C8" s="54">
        <f>Assumptions!C36</f>
        <v>0</v>
      </c>
      <c r="D8" s="21"/>
      <c r="E8" s="103" t="s">
        <v>203</v>
      </c>
      <c r="F8" s="104">
        <v>0</v>
      </c>
    </row>
    <row r="9" spans="1:6" ht="15.75" customHeight="1" thickTop="1" thickBot="1" x14ac:dyDescent="0.3">
      <c r="A9" s="24"/>
      <c r="B9" s="99" t="s">
        <v>204</v>
      </c>
      <c r="C9" s="31">
        <f>Assumptions!C56</f>
        <v>0</v>
      </c>
      <c r="D9" s="24"/>
      <c r="E9" s="102" t="s">
        <v>205</v>
      </c>
      <c r="F9" s="76">
        <f>0</f>
        <v>0</v>
      </c>
    </row>
    <row r="10" spans="1:6" ht="15.75" thickTop="1" x14ac:dyDescent="0.25"/>
    <row r="11" spans="1:6" ht="18" customHeight="1" x14ac:dyDescent="0.25">
      <c r="A11" s="27"/>
      <c r="B11" s="105" t="s">
        <v>206</v>
      </c>
      <c r="C11" s="106">
        <f>SUM(C5:C9)</f>
        <v>0</v>
      </c>
      <c r="D11" s="27"/>
      <c r="E11" s="101" t="s">
        <v>207</v>
      </c>
      <c r="F11" s="29">
        <f>SUM(F5:F9)</f>
        <v>0</v>
      </c>
    </row>
    <row r="12" spans="1:6" ht="15.75" customHeight="1" x14ac:dyDescent="0.25">
      <c r="B12" s="107" t="str">
        <f>IF(C11=F11," Balanced"," CHECK: "&amp;TEXT(C11-F11,"$#,##0.0")&amp;" difference")</f>
        <v xml:space="preserve"> Balanced</v>
      </c>
      <c r="C12" s="107"/>
    </row>
  </sheetData>
  <mergeCells count="4">
    <mergeCell ref="A1:F1"/>
    <mergeCell ref="A2:F2"/>
    <mergeCell ref="A3:F3"/>
    <mergeCell ref="B12:C1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Assumptions</vt:lpstr>
      <vt:lpstr>Income Statement</vt:lpstr>
      <vt:lpstr>Debt Schedule</vt:lpstr>
      <vt:lpstr>Cash Flow Statement</vt:lpstr>
      <vt:lpstr>Balance Sheet</vt:lpstr>
      <vt:lpstr>Returns Analysis</vt:lpstr>
      <vt:lpstr>Sources &amp; 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Pandey</cp:lastModifiedBy>
  <cp:revision>0</cp:revision>
  <dcterms:created xsi:type="dcterms:W3CDTF">2026-05-20T06:43:19Z</dcterms:created>
  <dcterms:modified xsi:type="dcterms:W3CDTF">2026-06-06T05:52:19Z</dcterms:modified>
  <dc:language>en-US</dc:language>
</cp:coreProperties>
</file>
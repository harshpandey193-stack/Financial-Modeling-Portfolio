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kahp\OneDrive\Desktop\Models\GITHUB MODELS\"/>
    </mc:Choice>
  </mc:AlternateContent>
  <xr:revisionPtr revIDLastSave="0" documentId="13_ncr:1_{F3EC986B-192E-4931-84E2-5FFC139F928E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over" sheetId="1" r:id="rId1"/>
    <sheet name="Inputs" sheetId="2" r:id="rId2"/>
    <sheet name="Assumptions" sheetId="3" r:id="rId3"/>
    <sheet name="Income Statement" sheetId="4" r:id="rId4"/>
    <sheet name="Balance Sheet" sheetId="5" r:id="rId5"/>
    <sheet name="Cash Flow Statement" sheetId="6" r:id="rId6"/>
    <sheet name="Supporting Schedules" sheetId="7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6" i="6" l="1"/>
  <c r="I26" i="6"/>
  <c r="H26" i="6"/>
  <c r="G26" i="6"/>
  <c r="F26" i="6"/>
  <c r="E26" i="6"/>
  <c r="D26" i="6"/>
  <c r="C26" i="6"/>
  <c r="J25" i="6"/>
  <c r="I25" i="6"/>
  <c r="H25" i="6"/>
  <c r="G25" i="6"/>
  <c r="F25" i="6"/>
  <c r="E25" i="6"/>
  <c r="D25" i="6"/>
  <c r="C25" i="6"/>
  <c r="J24" i="6"/>
  <c r="I24" i="6"/>
  <c r="H24" i="6"/>
  <c r="G24" i="6"/>
  <c r="F24" i="6"/>
  <c r="E24" i="6"/>
  <c r="D24" i="6"/>
  <c r="C24" i="6"/>
  <c r="J23" i="6"/>
  <c r="J27" i="6" s="1"/>
  <c r="I23" i="6"/>
  <c r="I27" i="6" s="1"/>
  <c r="H23" i="6"/>
  <c r="H27" i="6" s="1"/>
  <c r="G23" i="6"/>
  <c r="F23" i="6"/>
  <c r="F27" i="6" s="1"/>
  <c r="E23" i="6"/>
  <c r="E27" i="6" s="1"/>
  <c r="D23" i="6"/>
  <c r="D27" i="6" s="1"/>
  <c r="C23" i="6"/>
  <c r="C27" i="6" s="1"/>
  <c r="J19" i="6"/>
  <c r="I19" i="6"/>
  <c r="H19" i="6"/>
  <c r="G19" i="6"/>
  <c r="F19" i="6"/>
  <c r="E19" i="6"/>
  <c r="D19" i="6"/>
  <c r="C19" i="6"/>
  <c r="J18" i="6"/>
  <c r="I18" i="6"/>
  <c r="H18" i="6"/>
  <c r="G18" i="6"/>
  <c r="F18" i="6"/>
  <c r="E18" i="6"/>
  <c r="D18" i="6"/>
  <c r="C18" i="6"/>
  <c r="J17" i="6"/>
  <c r="J6" i="7" s="1"/>
  <c r="I17" i="6"/>
  <c r="I6" i="7" s="1"/>
  <c r="H17" i="6"/>
  <c r="H6" i="7" s="1"/>
  <c r="G17" i="6"/>
  <c r="G6" i="7" s="1"/>
  <c r="F17" i="6"/>
  <c r="F6" i="7" s="1"/>
  <c r="E17" i="6"/>
  <c r="E6" i="7" s="1"/>
  <c r="D17" i="6"/>
  <c r="D6" i="7" s="1"/>
  <c r="C17" i="6"/>
  <c r="C6" i="7" s="1"/>
  <c r="C13" i="6"/>
  <c r="C12" i="6"/>
  <c r="C11" i="6"/>
  <c r="J9" i="6"/>
  <c r="I9" i="6"/>
  <c r="H9" i="6"/>
  <c r="G9" i="6"/>
  <c r="F9" i="6"/>
  <c r="E9" i="6"/>
  <c r="D9" i="6"/>
  <c r="C9" i="6"/>
  <c r="J8" i="6"/>
  <c r="I8" i="6"/>
  <c r="H8" i="6"/>
  <c r="G8" i="6"/>
  <c r="F8" i="6"/>
  <c r="E8" i="6"/>
  <c r="D8" i="6"/>
  <c r="C8" i="6"/>
  <c r="J40" i="5"/>
  <c r="I40" i="5"/>
  <c r="H40" i="5"/>
  <c r="G40" i="5"/>
  <c r="F40" i="5"/>
  <c r="E40" i="5"/>
  <c r="D40" i="5"/>
  <c r="C40" i="5"/>
  <c r="J39" i="5"/>
  <c r="I39" i="5"/>
  <c r="H39" i="5"/>
  <c r="G39" i="5"/>
  <c r="F39" i="5"/>
  <c r="E39" i="5"/>
  <c r="D39" i="5"/>
  <c r="C39" i="5"/>
  <c r="J37" i="5"/>
  <c r="I37" i="5"/>
  <c r="H37" i="5"/>
  <c r="G37" i="5"/>
  <c r="F37" i="5"/>
  <c r="E37" i="5"/>
  <c r="D37" i="5"/>
  <c r="C37" i="5"/>
  <c r="J32" i="5"/>
  <c r="I32" i="5"/>
  <c r="H32" i="5"/>
  <c r="G32" i="5"/>
  <c r="F32" i="5"/>
  <c r="E32" i="5"/>
  <c r="D32" i="5"/>
  <c r="C32" i="5"/>
  <c r="J31" i="5"/>
  <c r="I31" i="5"/>
  <c r="H31" i="5"/>
  <c r="G31" i="5"/>
  <c r="F31" i="5"/>
  <c r="E31" i="5"/>
  <c r="D31" i="5"/>
  <c r="C31" i="5"/>
  <c r="J30" i="5"/>
  <c r="J33" i="5" s="1"/>
  <c r="I30" i="5"/>
  <c r="I33" i="5" s="1"/>
  <c r="H30" i="5"/>
  <c r="H33" i="5" s="1"/>
  <c r="G30" i="5"/>
  <c r="G33" i="5" s="1"/>
  <c r="F30" i="5"/>
  <c r="F33" i="5" s="1"/>
  <c r="E30" i="5"/>
  <c r="E33" i="5" s="1"/>
  <c r="D30" i="5"/>
  <c r="D33" i="5" s="1"/>
  <c r="C30" i="5"/>
  <c r="C33" i="5" s="1"/>
  <c r="J27" i="5"/>
  <c r="I27" i="5"/>
  <c r="H27" i="5"/>
  <c r="G27" i="5"/>
  <c r="F27" i="5"/>
  <c r="E27" i="5"/>
  <c r="D27" i="5"/>
  <c r="C27" i="5"/>
  <c r="J26" i="5"/>
  <c r="J35" i="7" s="1"/>
  <c r="I26" i="5"/>
  <c r="I35" i="7" s="1"/>
  <c r="H26" i="5"/>
  <c r="H35" i="7" s="1"/>
  <c r="G26" i="5"/>
  <c r="G35" i="7" s="1"/>
  <c r="F26" i="5"/>
  <c r="F35" i="7" s="1"/>
  <c r="E26" i="5"/>
  <c r="E35" i="7" s="1"/>
  <c r="D26" i="5"/>
  <c r="D35" i="7" s="1"/>
  <c r="C26" i="5"/>
  <c r="C35" i="7" s="1"/>
  <c r="J25" i="5"/>
  <c r="I25" i="5"/>
  <c r="H25" i="5"/>
  <c r="G25" i="5"/>
  <c r="F25" i="5"/>
  <c r="E25" i="5"/>
  <c r="D25" i="5"/>
  <c r="C25" i="5"/>
  <c r="J24" i="5"/>
  <c r="J34" i="7" s="1"/>
  <c r="I24" i="5"/>
  <c r="I34" i="7" s="1"/>
  <c r="H24" i="5"/>
  <c r="H34" i="7" s="1"/>
  <c r="G24" i="5"/>
  <c r="G34" i="7" s="1"/>
  <c r="F24" i="5"/>
  <c r="F34" i="7" s="1"/>
  <c r="E24" i="5"/>
  <c r="E34" i="7" s="1"/>
  <c r="D24" i="5"/>
  <c r="D34" i="7" s="1"/>
  <c r="C24" i="5"/>
  <c r="C34" i="7" s="1"/>
  <c r="J23" i="5"/>
  <c r="I23" i="5"/>
  <c r="I33" i="7" s="1"/>
  <c r="H23" i="5"/>
  <c r="H33" i="7" s="1"/>
  <c r="G23" i="5"/>
  <c r="F23" i="5"/>
  <c r="E23" i="5"/>
  <c r="E33" i="7" s="1"/>
  <c r="D23" i="5"/>
  <c r="D33" i="7" s="1"/>
  <c r="C23" i="5"/>
  <c r="J18" i="5"/>
  <c r="I18" i="5"/>
  <c r="H18" i="5"/>
  <c r="G18" i="5"/>
  <c r="F18" i="5"/>
  <c r="E18" i="5"/>
  <c r="D18" i="5"/>
  <c r="C18" i="5"/>
  <c r="J17" i="5"/>
  <c r="I17" i="5"/>
  <c r="H17" i="5"/>
  <c r="G17" i="5"/>
  <c r="F17" i="5"/>
  <c r="E17" i="5"/>
  <c r="D17" i="5"/>
  <c r="C17" i="5"/>
  <c r="J16" i="5"/>
  <c r="I16" i="5"/>
  <c r="H16" i="5"/>
  <c r="G16" i="5"/>
  <c r="F16" i="5"/>
  <c r="E16" i="5"/>
  <c r="D16" i="5"/>
  <c r="C16" i="5"/>
  <c r="J14" i="5"/>
  <c r="J9" i="7" s="1"/>
  <c r="I14" i="5"/>
  <c r="I9" i="7" s="1"/>
  <c r="H14" i="5"/>
  <c r="H9" i="7" s="1"/>
  <c r="G14" i="5"/>
  <c r="G9" i="7" s="1"/>
  <c r="F14" i="5"/>
  <c r="F9" i="7" s="1"/>
  <c r="E14" i="5"/>
  <c r="E9" i="7" s="1"/>
  <c r="D14" i="5"/>
  <c r="D9" i="7" s="1"/>
  <c r="C14" i="5"/>
  <c r="C9" i="7" s="1"/>
  <c r="J13" i="5"/>
  <c r="J5" i="7" s="1"/>
  <c r="I13" i="5"/>
  <c r="I5" i="7" s="1"/>
  <c r="H13" i="5"/>
  <c r="H5" i="7" s="1"/>
  <c r="G13" i="5"/>
  <c r="G5" i="7" s="1"/>
  <c r="F13" i="5"/>
  <c r="F5" i="7" s="1"/>
  <c r="E13" i="5"/>
  <c r="E5" i="7" s="1"/>
  <c r="D13" i="5"/>
  <c r="D5" i="7" s="1"/>
  <c r="C13" i="5"/>
  <c r="C5" i="7" s="1"/>
  <c r="J10" i="5"/>
  <c r="J32" i="7" s="1"/>
  <c r="I10" i="5"/>
  <c r="I32" i="7" s="1"/>
  <c r="H10" i="5"/>
  <c r="H32" i="7" s="1"/>
  <c r="G10" i="5"/>
  <c r="G32" i="7" s="1"/>
  <c r="F10" i="5"/>
  <c r="F32" i="7" s="1"/>
  <c r="E10" i="5"/>
  <c r="E32" i="7" s="1"/>
  <c r="D10" i="5"/>
  <c r="D32" i="7" s="1"/>
  <c r="C10" i="5"/>
  <c r="C32" i="7" s="1"/>
  <c r="J9" i="5"/>
  <c r="I9" i="5"/>
  <c r="I31" i="7" s="1"/>
  <c r="H9" i="5"/>
  <c r="H31" i="7" s="1"/>
  <c r="G9" i="5"/>
  <c r="F9" i="5"/>
  <c r="E9" i="5"/>
  <c r="E31" i="7" s="1"/>
  <c r="D9" i="5"/>
  <c r="D31" i="7" s="1"/>
  <c r="C9" i="5"/>
  <c r="C31" i="7" s="1"/>
  <c r="J8" i="5"/>
  <c r="I8" i="5"/>
  <c r="H8" i="5"/>
  <c r="G8" i="5"/>
  <c r="F8" i="5"/>
  <c r="E8" i="5"/>
  <c r="D8" i="5"/>
  <c r="C8" i="5"/>
  <c r="J7" i="5"/>
  <c r="I7" i="5"/>
  <c r="I30" i="7" s="1"/>
  <c r="H7" i="5"/>
  <c r="H30" i="7" s="1"/>
  <c r="G7" i="5"/>
  <c r="F7" i="5"/>
  <c r="E7" i="5"/>
  <c r="E30" i="7" s="1"/>
  <c r="D7" i="5"/>
  <c r="D30" i="7" s="1"/>
  <c r="C7" i="5"/>
  <c r="C30" i="7" s="1"/>
  <c r="J6" i="5"/>
  <c r="J11" i="5" s="1"/>
  <c r="I6" i="5"/>
  <c r="J30" i="6" s="1"/>
  <c r="H6" i="5"/>
  <c r="I30" i="6" s="1"/>
  <c r="G6" i="5"/>
  <c r="H30" i="6" s="1"/>
  <c r="F6" i="5"/>
  <c r="G30" i="6" s="1"/>
  <c r="E6" i="5"/>
  <c r="F30" i="6" s="1"/>
  <c r="D6" i="5"/>
  <c r="E30" i="6" s="1"/>
  <c r="C6" i="5"/>
  <c r="J24" i="4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J22" i="4"/>
  <c r="I22" i="4"/>
  <c r="H22" i="4"/>
  <c r="G22" i="4"/>
  <c r="F22" i="4"/>
  <c r="E22" i="4"/>
  <c r="D22" i="4"/>
  <c r="C22" i="4"/>
  <c r="J15" i="4"/>
  <c r="I15" i="4"/>
  <c r="H15" i="4"/>
  <c r="G15" i="4"/>
  <c r="F15" i="4"/>
  <c r="E15" i="4"/>
  <c r="D15" i="4"/>
  <c r="C15" i="4"/>
  <c r="J14" i="4"/>
  <c r="I14" i="4"/>
  <c r="H14" i="4"/>
  <c r="G14" i="4"/>
  <c r="F14" i="4"/>
  <c r="E14" i="4"/>
  <c r="D14" i="4"/>
  <c r="C14" i="4"/>
  <c r="J13" i="4"/>
  <c r="I13" i="4"/>
  <c r="H13" i="4"/>
  <c r="G13" i="4"/>
  <c r="F13" i="4"/>
  <c r="E13" i="4"/>
  <c r="D13" i="4"/>
  <c r="C13" i="4"/>
  <c r="J12" i="4"/>
  <c r="J16" i="4" s="1"/>
  <c r="I12" i="4"/>
  <c r="I16" i="4" s="1"/>
  <c r="H12" i="4"/>
  <c r="H16" i="4" s="1"/>
  <c r="G12" i="4"/>
  <c r="G16" i="4" s="1"/>
  <c r="F12" i="4"/>
  <c r="F16" i="4" s="1"/>
  <c r="E12" i="4"/>
  <c r="E16" i="4" s="1"/>
  <c r="D12" i="4"/>
  <c r="D16" i="4" s="1"/>
  <c r="C12" i="4"/>
  <c r="C16" i="4" s="1"/>
  <c r="J8" i="4"/>
  <c r="I8" i="4"/>
  <c r="H8" i="4"/>
  <c r="G8" i="4"/>
  <c r="F8" i="4"/>
  <c r="E8" i="4"/>
  <c r="D8" i="4"/>
  <c r="C8" i="4"/>
  <c r="J5" i="4"/>
  <c r="I5" i="4"/>
  <c r="H5" i="4"/>
  <c r="H9" i="4" s="1"/>
  <c r="G5" i="4"/>
  <c r="G9" i="4" s="1"/>
  <c r="F5" i="4"/>
  <c r="E5" i="4"/>
  <c r="D5" i="4"/>
  <c r="D9" i="4" s="1"/>
  <c r="C5" i="4"/>
  <c r="C9" i="4" s="1"/>
  <c r="G27" i="6" l="1"/>
  <c r="F6" i="4"/>
  <c r="J6" i="4"/>
  <c r="E9" i="4"/>
  <c r="E17" i="4" s="1"/>
  <c r="J9" i="4"/>
  <c r="J17" i="4" s="1"/>
  <c r="F9" i="4"/>
  <c r="F10" i="4" s="1"/>
  <c r="I9" i="4"/>
  <c r="I17" i="4" s="1"/>
  <c r="G17" i="4"/>
  <c r="G10" i="4"/>
  <c r="C17" i="4"/>
  <c r="C10" i="4"/>
  <c r="D17" i="4"/>
  <c r="D10" i="4"/>
  <c r="H17" i="4"/>
  <c r="H10" i="4"/>
  <c r="I10" i="7"/>
  <c r="I7" i="6"/>
  <c r="F30" i="7"/>
  <c r="F11" i="6"/>
  <c r="J15" i="5"/>
  <c r="J13" i="7" s="1"/>
  <c r="F33" i="7"/>
  <c r="F13" i="6"/>
  <c r="F28" i="5"/>
  <c r="F34" i="5" s="1"/>
  <c r="J10" i="7"/>
  <c r="J7" i="6"/>
  <c r="G30" i="7"/>
  <c r="G11" i="6"/>
  <c r="G31" i="7"/>
  <c r="G12" i="6"/>
  <c r="C15" i="5"/>
  <c r="C13" i="7" s="1"/>
  <c r="G33" i="7"/>
  <c r="G13" i="6"/>
  <c r="G28" i="5"/>
  <c r="G34" i="5" s="1"/>
  <c r="G6" i="4"/>
  <c r="C10" i="7"/>
  <c r="C7" i="6"/>
  <c r="G10" i="7"/>
  <c r="G7" i="6"/>
  <c r="F11" i="5"/>
  <c r="F19" i="5" s="1"/>
  <c r="F15" i="5"/>
  <c r="F13" i="7" s="1"/>
  <c r="E6" i="4"/>
  <c r="I6" i="4"/>
  <c r="E10" i="7"/>
  <c r="E7" i="6"/>
  <c r="J30" i="7"/>
  <c r="J11" i="6"/>
  <c r="F31" i="7"/>
  <c r="F12" i="6"/>
  <c r="J31" i="7"/>
  <c r="J12" i="6"/>
  <c r="J33" i="7"/>
  <c r="J13" i="6"/>
  <c r="J28" i="5"/>
  <c r="J34" i="5" s="1"/>
  <c r="F10" i="7"/>
  <c r="F7" i="6"/>
  <c r="D30" i="6"/>
  <c r="C30" i="6"/>
  <c r="C11" i="5"/>
  <c r="C19" i="5" s="1"/>
  <c r="C33" i="7"/>
  <c r="C28" i="5"/>
  <c r="C34" i="5" s="1"/>
  <c r="D6" i="4"/>
  <c r="H6" i="4"/>
  <c r="D10" i="7"/>
  <c r="D7" i="6"/>
  <c r="H10" i="7"/>
  <c r="H7" i="6"/>
  <c r="G11" i="5"/>
  <c r="G15" i="5"/>
  <c r="G13" i="7" s="1"/>
  <c r="C20" i="6"/>
  <c r="G20" i="6"/>
  <c r="D11" i="5"/>
  <c r="H11" i="5"/>
  <c r="D15" i="5"/>
  <c r="D13" i="7" s="1"/>
  <c r="H15" i="5"/>
  <c r="H13" i="7" s="1"/>
  <c r="D28" i="5"/>
  <c r="D34" i="5" s="1"/>
  <c r="H28" i="5"/>
  <c r="H34" i="5" s="1"/>
  <c r="D11" i="6"/>
  <c r="H11" i="6"/>
  <c r="D12" i="6"/>
  <c r="H12" i="6"/>
  <c r="D13" i="6"/>
  <c r="H13" i="6"/>
  <c r="D20" i="6"/>
  <c r="H20" i="6"/>
  <c r="E11" i="5"/>
  <c r="I11" i="5"/>
  <c r="E15" i="5"/>
  <c r="E13" i="7" s="1"/>
  <c r="I15" i="5"/>
  <c r="I13" i="7" s="1"/>
  <c r="E28" i="5"/>
  <c r="E34" i="5" s="1"/>
  <c r="I28" i="5"/>
  <c r="I34" i="5" s="1"/>
  <c r="E11" i="6"/>
  <c r="I11" i="6"/>
  <c r="E12" i="6"/>
  <c r="I12" i="6"/>
  <c r="E13" i="6"/>
  <c r="I13" i="6"/>
  <c r="E20" i="6"/>
  <c r="I20" i="6"/>
  <c r="F20" i="6"/>
  <c r="J20" i="6"/>
  <c r="E10" i="4" l="1"/>
  <c r="I10" i="4"/>
  <c r="J10" i="4"/>
  <c r="E19" i="5"/>
  <c r="F17" i="4"/>
  <c r="F18" i="4" s="1"/>
  <c r="H19" i="5"/>
  <c r="I25" i="4"/>
  <c r="I18" i="4"/>
  <c r="I19" i="4"/>
  <c r="I20" i="4" s="1"/>
  <c r="H25" i="4"/>
  <c r="H19" i="4"/>
  <c r="H20" i="4" s="1"/>
  <c r="H18" i="4"/>
  <c r="C19" i="4"/>
  <c r="C20" i="4" s="1"/>
  <c r="C18" i="4"/>
  <c r="C25" i="4"/>
  <c r="D19" i="5"/>
  <c r="J25" i="4"/>
  <c r="J19" i="4"/>
  <c r="J20" i="4" s="1"/>
  <c r="J18" i="4"/>
  <c r="E25" i="4"/>
  <c r="E18" i="4"/>
  <c r="E19" i="4"/>
  <c r="E20" i="4" s="1"/>
  <c r="D25" i="4"/>
  <c r="D19" i="4"/>
  <c r="D20" i="4" s="1"/>
  <c r="D18" i="4"/>
  <c r="G25" i="4"/>
  <c r="G19" i="4"/>
  <c r="G20" i="4" s="1"/>
  <c r="G18" i="4"/>
  <c r="F19" i="4"/>
  <c r="F20" i="4" s="1"/>
  <c r="F25" i="4"/>
  <c r="I19" i="5"/>
  <c r="G19" i="5"/>
  <c r="J19" i="5"/>
  <c r="J26" i="4" l="1"/>
  <c r="J27" i="4" s="1"/>
  <c r="D26" i="4"/>
  <c r="D27" i="4" s="1"/>
  <c r="H26" i="4"/>
  <c r="H27" i="4" s="1"/>
  <c r="E26" i="4"/>
  <c r="E27" i="4" s="1"/>
  <c r="F26" i="4"/>
  <c r="F27" i="4" s="1"/>
  <c r="G26" i="4"/>
  <c r="G27" i="4" s="1"/>
  <c r="C26" i="4"/>
  <c r="C27" i="4"/>
  <c r="I26" i="4"/>
  <c r="I27" i="4" s="1"/>
  <c r="E5" i="6" l="1"/>
  <c r="E14" i="6" s="1"/>
  <c r="E38" i="5"/>
  <c r="E41" i="5" s="1"/>
  <c r="E32" i="4"/>
  <c r="E31" i="4"/>
  <c r="E28" i="4"/>
  <c r="H5" i="6"/>
  <c r="H14" i="6" s="1"/>
  <c r="H38" i="5"/>
  <c r="H41" i="5" s="1"/>
  <c r="H32" i="4"/>
  <c r="H31" i="4"/>
  <c r="H28" i="4"/>
  <c r="G5" i="6"/>
  <c r="G14" i="6" s="1"/>
  <c r="G38" i="5"/>
  <c r="G41" i="5" s="1"/>
  <c r="G32" i="4"/>
  <c r="G31" i="4"/>
  <c r="G28" i="4"/>
  <c r="D5" i="6"/>
  <c r="D14" i="6" s="1"/>
  <c r="D38" i="5"/>
  <c r="D41" i="5" s="1"/>
  <c r="D32" i="4"/>
  <c r="D31" i="4"/>
  <c r="D28" i="4"/>
  <c r="I5" i="6"/>
  <c r="I14" i="6" s="1"/>
  <c r="I38" i="5"/>
  <c r="I41" i="5" s="1"/>
  <c r="I32" i="4"/>
  <c r="I31" i="4"/>
  <c r="I28" i="4"/>
  <c r="F5" i="6"/>
  <c r="F14" i="6" s="1"/>
  <c r="F38" i="5"/>
  <c r="F41" i="5" s="1"/>
  <c r="F32" i="4"/>
  <c r="F31" i="4"/>
  <c r="F28" i="4"/>
  <c r="J5" i="6"/>
  <c r="J14" i="6" s="1"/>
  <c r="J38" i="5"/>
  <c r="J41" i="5" s="1"/>
  <c r="J32" i="4"/>
  <c r="J31" i="4"/>
  <c r="J28" i="4"/>
  <c r="C5" i="6"/>
  <c r="C14" i="6" s="1"/>
  <c r="C38" i="5"/>
  <c r="C41" i="5" s="1"/>
  <c r="C31" i="4"/>
  <c r="C32" i="4"/>
  <c r="C28" i="4"/>
  <c r="D33" i="6" l="1"/>
  <c r="D34" i="6" s="1"/>
  <c r="D31" i="6"/>
  <c r="D32" i="6" s="1"/>
  <c r="J33" i="6"/>
  <c r="J34" i="6" s="1"/>
  <c r="J31" i="6"/>
  <c r="J32" i="6" s="1"/>
  <c r="G33" i="6"/>
  <c r="G34" i="6" s="1"/>
  <c r="G31" i="6"/>
  <c r="G32" i="6" s="1"/>
  <c r="H42" i="5"/>
  <c r="H45" i="5"/>
  <c r="J42" i="5"/>
  <c r="J45" i="5"/>
  <c r="F45" i="5"/>
  <c r="F42" i="5"/>
  <c r="I42" i="5"/>
  <c r="I45" i="5"/>
  <c r="H33" i="6"/>
  <c r="H34" i="6" s="1"/>
  <c r="H31" i="6"/>
  <c r="H32" i="6" s="1"/>
  <c r="E45" i="5"/>
  <c r="E42" i="5"/>
  <c r="C33" i="6"/>
  <c r="C34" i="6" s="1"/>
  <c r="C31" i="6"/>
  <c r="C32" i="6" s="1"/>
  <c r="G42" i="5"/>
  <c r="G45" i="5"/>
  <c r="F33" i="6"/>
  <c r="F34" i="6" s="1"/>
  <c r="F31" i="6"/>
  <c r="F32" i="6" s="1"/>
  <c r="C45" i="5"/>
  <c r="C42" i="5"/>
  <c r="I33" i="6"/>
  <c r="I34" i="6" s="1"/>
  <c r="I31" i="6"/>
  <c r="I32" i="6" s="1"/>
  <c r="D42" i="5"/>
  <c r="D45" i="5"/>
  <c r="E33" i="6"/>
  <c r="E34" i="6" s="1"/>
  <c r="E31" i="6"/>
  <c r="E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Kuldeep Pandey</author>
  </authors>
  <commentList>
    <comment ref="B5" authorId="0" shapeId="0" xr:uid="{9A229418-F8C5-4CDA-9F48-A36EDDE72086}">
      <text>
        <r>
          <rPr>
            <b/>
            <sz val="9"/>
            <color indexed="81"/>
            <rFont val="Tahoma"/>
            <family val="2"/>
          </rPr>
          <t>Annual organic growth assumption</t>
        </r>
      </text>
    </comment>
    <comment ref="B6" authorId="0" shapeId="0" xr:uid="{364361A9-1B44-4FAE-9D1E-04C1DC3C59BE}">
      <text>
        <r>
          <rPr>
            <b/>
            <sz val="9"/>
            <color indexed="81"/>
            <rFont val="Tahoma"/>
            <family val="2"/>
          </rPr>
          <t xml:space="preserve">If segmented model
</t>
        </r>
      </text>
    </comment>
    <comment ref="B11" authorId="0" shapeId="0" xr:uid="{06D61F7A-CD45-4419-B1A2-6E97E6035663}">
      <text>
        <r>
          <rPr>
            <b/>
            <sz val="9"/>
            <color indexed="81"/>
            <rFont val="Tahoma"/>
            <family val="2"/>
          </rPr>
          <t>Revenue – COGS / Revenue</t>
        </r>
      </text>
    </comment>
    <comment ref="B12" authorId="0" shapeId="0" xr:uid="{76E56BC6-74B0-4AFE-9D1F-D8A8F25C6CC9}">
      <text>
        <r>
          <rPr>
            <b/>
            <sz val="9"/>
            <color indexed="81"/>
            <rFont val="Tahoma"/>
            <family val="2"/>
          </rPr>
          <t>R&amp;D / Revenue</t>
        </r>
      </text>
    </comment>
    <comment ref="B13" authorId="0" shapeId="0" xr:uid="{DE707F57-BA3D-45AC-8614-5660DA19772B}">
      <text>
        <r>
          <rPr>
            <b/>
            <sz val="9"/>
            <color indexed="81"/>
            <rFont val="Tahoma"/>
            <family val="2"/>
          </rPr>
          <t xml:space="preserve">  SG&amp;A / Revenue</t>
        </r>
      </text>
    </comment>
    <comment ref="B14" authorId="0" shapeId="0" xr:uid="{5082EEF2-191A-4C05-8614-9F5C47A8BF19}">
      <text>
        <r>
          <rPr>
            <b/>
            <sz val="9"/>
            <color indexed="81"/>
            <rFont val="Tahoma"/>
            <family val="2"/>
          </rPr>
          <t xml:space="preserve">  Sanity check – not a driver</t>
        </r>
      </text>
    </comment>
    <comment ref="B15" authorId="0" shapeId="0" xr:uid="{B4152EF4-C7A2-451B-911B-AA45183616E2}">
      <text>
        <r>
          <rPr>
            <b/>
            <sz val="9"/>
            <color indexed="81"/>
            <rFont val="Tahoma"/>
            <family val="2"/>
          </rPr>
          <t xml:space="preserve">  Depreciation / Revenue</t>
        </r>
      </text>
    </comment>
    <comment ref="B16" authorId="0" shapeId="0" xr:uid="{790C0EB6-7301-4470-8518-7E87E100D35F}">
      <text>
        <r>
          <rPr>
            <b/>
            <sz val="9"/>
            <color indexed="81"/>
            <rFont val="Tahoma"/>
            <family val="2"/>
          </rPr>
          <t xml:space="preserve">  Blended statutory + deferred</t>
        </r>
      </text>
    </comment>
    <comment ref="B19" authorId="0" shapeId="0" xr:uid="{D4671CDD-1C08-4E51-864B-D4C7E7283683}">
      <text>
        <r>
          <rPr>
            <b/>
            <sz val="9"/>
            <color indexed="81"/>
            <rFont val="Tahoma"/>
            <family val="2"/>
          </rPr>
          <t>AR/ Revenue x 365</t>
        </r>
      </text>
    </comment>
    <comment ref="B20" authorId="0" shapeId="0" xr:uid="{70C3B319-1B4F-4AA8-849D-E8D80F2DBFCC}">
      <text>
        <r>
          <rPr>
            <b/>
            <sz val="9"/>
            <color indexed="81"/>
            <rFont val="Tahoma"/>
            <family val="2"/>
          </rPr>
          <t>Inventory / COGS x 365</t>
        </r>
      </text>
    </comment>
    <comment ref="B21" authorId="0" shapeId="0" xr:uid="{019A71C9-AA3F-4C1B-8B4E-27A04B0C13AD}">
      <text>
        <r>
          <rPr>
            <b/>
            <sz val="9"/>
            <color indexed="81"/>
            <rFont val="Tahoma"/>
            <family val="2"/>
          </rPr>
          <t>AP / COGS x 365</t>
        </r>
      </text>
    </comment>
    <comment ref="B22" authorId="0" shapeId="0" xr:uid="{FB33FED6-6AB6-45B6-964C-29245F02721E}">
      <text>
        <r>
          <rPr>
            <b/>
            <sz val="9"/>
            <color indexed="81"/>
            <rFont val="Tahoma"/>
            <family val="2"/>
          </rPr>
          <t>DSO + DIO - DPO</t>
        </r>
      </text>
    </comment>
    <comment ref="B25" authorId="0" shapeId="0" xr:uid="{C60AD959-591E-4C9B-9466-443374DB2C94}">
      <text>
        <r>
          <rPr>
            <b/>
            <sz val="9"/>
            <color indexed="81"/>
            <rFont val="Tahoma"/>
            <family val="2"/>
          </rPr>
          <t xml:space="preserve">  Maintenance + growth capex</t>
        </r>
      </text>
    </comment>
    <comment ref="B26" authorId="0" shapeId="0" xr:uid="{AC5A2D31-C4C4-44F8-82C8-064DED958C9E}">
      <text>
        <r>
          <rPr>
            <b/>
            <sz val="9"/>
            <color indexed="81"/>
            <rFont val="Tahoma"/>
            <family val="2"/>
          </rPr>
          <t>Average asset life proxy</t>
        </r>
      </text>
    </comment>
    <comment ref="B30" authorId="0" shapeId="0" xr:uid="{E686466C-F9E2-42D7-AE0A-A7FD5D623F1F}">
      <text>
        <r>
          <rPr>
            <b/>
            <sz val="9"/>
            <color indexed="81"/>
            <rFont val="Tahoma"/>
            <family val="2"/>
          </rPr>
          <t xml:space="preserve">  Floating; adjust for rate env.</t>
        </r>
      </text>
    </comment>
  </commentList>
</comments>
</file>

<file path=xl/sharedStrings.xml><?xml version="1.0" encoding="utf-8"?>
<sst xmlns="http://schemas.openxmlformats.org/spreadsheetml/2006/main" count="294" uniqueCount="227">
  <si>
    <t>THREE STATEMENT FINANCIAL MODEL</t>
  </si>
  <si>
    <t>Industry-Grade Integrated Financial Framework  |  3-Year Historical + 5-Year Projection</t>
  </si>
  <si>
    <t>MODEL NAVIGATION</t>
  </si>
  <si>
    <t>1</t>
  </si>
  <si>
    <t>Inputs</t>
  </si>
  <si>
    <t>2</t>
  </si>
  <si>
    <t>Assumptions</t>
  </si>
  <si>
    <t>3</t>
  </si>
  <si>
    <t>Income Statement</t>
  </si>
  <si>
    <t>4</t>
  </si>
  <si>
    <t>Balance Sheet</t>
  </si>
  <si>
    <t>5</t>
  </si>
  <si>
    <t>Cash Flow</t>
  </si>
  <si>
    <t>6</t>
  </si>
  <si>
    <t>Supporting Schedules</t>
  </si>
  <si>
    <t xml:space="preserve">  DATA INPUTS</t>
  </si>
  <si>
    <t xml:space="preserve">  LINE ITEM</t>
  </si>
  <si>
    <t>FY-3 (Hist.)</t>
  </si>
  <si>
    <t>FY-2 (Hist.)</t>
  </si>
  <si>
    <t>FY-1 (Hist.)</t>
  </si>
  <si>
    <t>FY+1 (Proj.)</t>
  </si>
  <si>
    <t>FY+2 (Proj.)</t>
  </si>
  <si>
    <t>FY+3 (Proj.)</t>
  </si>
  <si>
    <t>FY+4 (Proj.)</t>
  </si>
  <si>
    <t>FY+5 (Proj.)</t>
  </si>
  <si>
    <t xml:space="preserve">  INCOME STATEMENT INPUTS</t>
  </si>
  <si>
    <t xml:space="preserve">  Revenue / Net Sales</t>
  </si>
  <si>
    <t xml:space="preserve">  Cost of Goods Sold (COGS)</t>
  </si>
  <si>
    <t xml:space="preserve">  Research &amp; Development Expense</t>
  </si>
  <si>
    <t xml:space="preserve">  Selling, General &amp; Administrative (SG&amp;A)</t>
  </si>
  <si>
    <t xml:space="preserve">  Other Operating Income / (Expense)</t>
  </si>
  <si>
    <t xml:space="preserve">  Depreciation &amp; Amortization</t>
  </si>
  <si>
    <t xml:space="preserve">  Interest Expense</t>
  </si>
  <si>
    <t xml:space="preserve">  Interest Income</t>
  </si>
  <si>
    <t xml:space="preserve">  Other Non-Operating Income / (Expense)</t>
  </si>
  <si>
    <t xml:space="preserve">  Tax Rate (Effective)</t>
  </si>
  <si>
    <t xml:space="preserve">  Shares Outstanding (mm) – Basic</t>
  </si>
  <si>
    <t xml:space="preserve">  Shares Outstanding (mm) – Diluted</t>
  </si>
  <si>
    <t xml:space="preserve">  BALANCE SHEET INPUTS – ASSETS</t>
  </si>
  <si>
    <t xml:space="preserve">  Cash &amp; Cash Equivalents</t>
  </si>
  <si>
    <t xml:space="preserve">  Accounts Receivable (gross)</t>
  </si>
  <si>
    <t xml:space="preserve">  Allowance for Doubtful Accounts</t>
  </si>
  <si>
    <t xml:space="preserve">  Inventories</t>
  </si>
  <si>
    <t xml:space="preserve">  Prepaid Expenses &amp; Other Current Assets</t>
  </si>
  <si>
    <t xml:space="preserve">  Property, Plant &amp; Equipment (gross)</t>
  </si>
  <si>
    <t xml:space="preserve">  Accumulated Depreciation</t>
  </si>
  <si>
    <t xml:space="preserve">  Intangible Assets (net)</t>
  </si>
  <si>
    <t xml:space="preserve">  Goodwill</t>
  </si>
  <si>
    <t xml:space="preserve">  Other Non-Current Assets</t>
  </si>
  <si>
    <t xml:space="preserve">  BALANCE SHEET INPUTS – LIABILITIES &amp; EQUITY</t>
  </si>
  <si>
    <t xml:space="preserve">  Accounts Payable</t>
  </si>
  <si>
    <t xml:space="preserve">  Accrued Liabilities</t>
  </si>
  <si>
    <t xml:space="preserve">  Short-Term Debt / Current Portion of LT Debt</t>
  </si>
  <si>
    <t xml:space="preserve">  Deferred Revenue (Current)</t>
  </si>
  <si>
    <t xml:space="preserve">  Other Current Liabilities</t>
  </si>
  <si>
    <t xml:space="preserve">  Long-Term Debt (net of current)</t>
  </si>
  <si>
    <t xml:space="preserve">  Deferred Tax Liabilities</t>
  </si>
  <si>
    <t xml:space="preserve">  Other Non-Current Liabilities</t>
  </si>
  <si>
    <t xml:space="preserve">  Common Stock &amp; Additional Paid-In Capital</t>
  </si>
  <si>
    <t xml:space="preserve">  Retained Earnings (Beginning Balance)</t>
  </si>
  <si>
    <t xml:space="preserve">  Other Comprehensive Income / (Loss)</t>
  </si>
  <si>
    <t xml:space="preserve">  Treasury Stock</t>
  </si>
  <si>
    <t xml:space="preserve">  CASH FLOW STATEMENT ADDITIONAL INPUTS</t>
  </si>
  <si>
    <t xml:space="preserve">  Stock-Based Compensation</t>
  </si>
  <si>
    <t xml:space="preserve">  Amortization of Debt Issuance Costs</t>
  </si>
  <si>
    <t xml:space="preserve">  Capital Expenditures (Cash Outflow)</t>
  </si>
  <si>
    <t xml:space="preserve">  Acquisitions (net of cash acquired)</t>
  </si>
  <si>
    <t xml:space="preserve">  Proceeds from Asset Sales</t>
  </si>
  <si>
    <t xml:space="preserve">  Net Borrowings / (Repayments)</t>
  </si>
  <si>
    <t xml:space="preserve">  Dividends Paid</t>
  </si>
  <si>
    <t xml:space="preserve">  Share Repurchases</t>
  </si>
  <si>
    <t xml:space="preserve">  Proceeds from Stock Issuance</t>
  </si>
  <si>
    <t xml:space="preserve">  ASSUMPTIONS &amp; DRIVERS</t>
  </si>
  <si>
    <t xml:space="preserve">  DRIVER / ASSUMPTION</t>
  </si>
  <si>
    <t xml:space="preserve">  REVENUE DRIVERS</t>
  </si>
  <si>
    <t xml:space="preserve">  Revenue Growth Rate YoY</t>
  </si>
  <si>
    <t xml:space="preserve">  MARGIN &amp; COST DRIVERS</t>
  </si>
  <si>
    <t xml:space="preserve">  Gross Margin %</t>
  </si>
  <si>
    <t xml:space="preserve">  R&amp;D as % of Revenue</t>
  </si>
  <si>
    <t xml:space="preserve">  SG&amp;A as % of Revenue</t>
  </si>
  <si>
    <t xml:space="preserve">  EBITDA Margin %</t>
  </si>
  <si>
    <t xml:space="preserve">  D&amp;A as % of Revenue</t>
  </si>
  <si>
    <t xml:space="preserve">  Effective Tax Rate %</t>
  </si>
  <si>
    <t xml:space="preserve">  WORKING CAPITAL ASSUMPTIONS</t>
  </si>
  <si>
    <t xml:space="preserve">  Days Sales Outstanding (DSO)</t>
  </si>
  <si>
    <t xml:space="preserve">  Days Inventory Outstanding (DIO)</t>
  </si>
  <si>
    <t xml:space="preserve">  Days Payable Outstanding (DPO)</t>
  </si>
  <si>
    <t xml:space="preserve">  Cash Conversion Cycle (CCC)</t>
  </si>
  <si>
    <t xml:space="preserve">  CAPEX &amp; DEPRECIATION SCHEDULE</t>
  </si>
  <si>
    <t xml:space="preserve">  Capital Expenditures as % of Revenue</t>
  </si>
  <si>
    <t xml:space="preserve">  D&amp;A as % of Gross PP&amp;E</t>
  </si>
  <si>
    <t xml:space="preserve">  PP&amp;E Useful Life (years)</t>
  </si>
  <si>
    <t xml:space="preserve">  DEBT &amp; FINANCING ASSUMPTIONS</t>
  </si>
  <si>
    <t xml:space="preserve">  Revolver – Interest Rate %</t>
  </si>
  <si>
    <t xml:space="preserve">  Term Loan A – Interest Rate %</t>
  </si>
  <si>
    <t xml:space="preserve">  Senior Notes – Coupon Rate %</t>
  </si>
  <si>
    <t xml:space="preserve">  Net Debt / EBITDA Target (x)</t>
  </si>
  <si>
    <t xml:space="preserve">  Dividend Payout Ratio %</t>
  </si>
  <si>
    <t xml:space="preserve">  VALUATION MULTIPLES (REFERENCE)</t>
  </si>
  <si>
    <t xml:space="preserve">  EV / EBITDA Entry Multiple (x)</t>
  </si>
  <si>
    <t xml:space="preserve">  EV / EBITDA Exit Multiple (x)</t>
  </si>
  <si>
    <t xml:space="preserve">  P/E Multiple (x)</t>
  </si>
  <si>
    <t xml:space="preserve">  EV / Revenue Multiple (x)</t>
  </si>
  <si>
    <t xml:space="preserve">  WACC / Discount Rate %</t>
  </si>
  <si>
    <t xml:space="preserve">  Terminal Growth Rate %</t>
  </si>
  <si>
    <t xml:space="preserve">  ($mm)</t>
  </si>
  <si>
    <t>FY-3
(H)</t>
  </si>
  <si>
    <t>FY-2
(H)</t>
  </si>
  <si>
    <t>FY-1
(H)</t>
  </si>
  <si>
    <t>FY+1
(P)</t>
  </si>
  <si>
    <t>FY+2
(P)</t>
  </si>
  <si>
    <t>FY+3
(P)</t>
  </si>
  <si>
    <t>FY+4
(P)</t>
  </si>
  <si>
    <t>FY+5
(P)</t>
  </si>
  <si>
    <t xml:space="preserve">  REVENUE</t>
  </si>
  <si>
    <t xml:space="preserve">  Net Revenue</t>
  </si>
  <si>
    <t xml:space="preserve">    YoY Growth %</t>
  </si>
  <si>
    <t>-</t>
  </si>
  <si>
    <t xml:space="preserve">  COST OF REVENUE &amp; GROSS PROFIT</t>
  </si>
  <si>
    <t xml:space="preserve">  Cost of Goods Sold</t>
  </si>
  <si>
    <t xml:space="preserve">  GROSS PROFIT</t>
  </si>
  <si>
    <t xml:space="preserve">    Gross Margin %</t>
  </si>
  <si>
    <t xml:space="preserve">  OPERATING EXPENSES</t>
  </si>
  <si>
    <t xml:space="preserve">  Research &amp; Development</t>
  </si>
  <si>
    <t xml:space="preserve">  Selling, General &amp; Administrative</t>
  </si>
  <si>
    <t xml:space="preserve">  Total Operating Expenses</t>
  </si>
  <si>
    <t xml:space="preserve">  EBIT (Operating Income)</t>
  </si>
  <si>
    <t xml:space="preserve">    EBIT Margin %</t>
  </si>
  <si>
    <t xml:space="preserve">  EBITDA</t>
  </si>
  <si>
    <t xml:space="preserve">    EBITDA Margin %</t>
  </si>
  <si>
    <t xml:space="preserve">  BELOW-THE-LINE ITEMS</t>
  </si>
  <si>
    <t xml:space="preserve">  Earnings Before Tax (EBT)</t>
  </si>
  <si>
    <t xml:space="preserve">  Income Tax Expense</t>
  </si>
  <si>
    <t xml:space="preserve">  NET INCOME</t>
  </si>
  <si>
    <t xml:space="preserve">    Net Margin %</t>
  </si>
  <si>
    <t xml:space="preserve">  PER SHARE DATA</t>
  </si>
  <si>
    <t xml:space="preserve">  EPS – Basic ($)</t>
  </si>
  <si>
    <t xml:space="preserve">  EPS – Diluted ($)</t>
  </si>
  <si>
    <t xml:space="preserve">  ASSETS</t>
  </si>
  <si>
    <t xml:space="preserve">  Current Assets</t>
  </si>
  <si>
    <t xml:space="preserve">  Less: Allowance for Doubtful Accounts</t>
  </si>
  <si>
    <t xml:space="preserve">  Total Current Assets</t>
  </si>
  <si>
    <t xml:space="preserve">  Non-Current Assets</t>
  </si>
  <si>
    <t xml:space="preserve">  Less: Accumulated Depreciation</t>
  </si>
  <si>
    <t xml:space="preserve">  Net PP&amp;E</t>
  </si>
  <si>
    <t xml:space="preserve">  TOTAL ASSETS</t>
  </si>
  <si>
    <t xml:space="preserve">  LIABILITIES</t>
  </si>
  <si>
    <t xml:space="preserve">  Current Liabilities</t>
  </si>
  <si>
    <t xml:space="preserve">  Short-Term Debt / Current Portion LT Debt</t>
  </si>
  <si>
    <t xml:space="preserve">  Total Current Liabilities</t>
  </si>
  <si>
    <t xml:space="preserve">  Non-Current Liabilities</t>
  </si>
  <si>
    <t xml:space="preserve">  Long-Term Debt (net of current portion)</t>
  </si>
  <si>
    <t xml:space="preserve">  Total Non-Current Liabilities</t>
  </si>
  <si>
    <t xml:space="preserve">  TOTAL LIABILITIES</t>
  </si>
  <si>
    <t xml:space="preserve">  SHAREHOLDERS' EQUITY</t>
  </si>
  <si>
    <t xml:space="preserve">  Retained Earnings</t>
  </si>
  <si>
    <t xml:space="preserve">  Accumulated Other Comprehensive Income/(Loss)</t>
  </si>
  <si>
    <t xml:space="preserve">  Treasury Stock (at cost)</t>
  </si>
  <si>
    <t xml:space="preserve">  TOTAL SHAREHOLDERS' EQUITY</t>
  </si>
  <si>
    <t xml:space="preserve">  TOTAL LIABILITIES &amp; EQUITY</t>
  </si>
  <si>
    <t xml:space="preserve">  BALANCE SHEET CHECK  ✔  (Highlights RED if out of balance)</t>
  </si>
  <si>
    <t xml:space="preserve">  Assets – (Liabilities + Equity)  |  Must = 0</t>
  </si>
  <si>
    <t xml:space="preserve">  OPERATING ACTIVITIES</t>
  </si>
  <si>
    <t xml:space="preserve">  Net Income</t>
  </si>
  <si>
    <t xml:space="preserve">  Non-Cash Adjustments</t>
  </si>
  <si>
    <t xml:space="preserve">  Add: Depreciation &amp; Amortization</t>
  </si>
  <si>
    <t xml:space="preserve">  Add: Stock-Based Compensation</t>
  </si>
  <si>
    <t xml:space="preserve">  Add: Amortization of Debt Issuance Costs</t>
  </si>
  <si>
    <t xml:space="preserve">  Changes in Working Capital</t>
  </si>
  <si>
    <t xml:space="preserve">  (Increase)/Decrease in Accounts Receivable</t>
  </si>
  <si>
    <t xml:space="preserve">  (Increase)/Decrease in Inventories</t>
  </si>
  <si>
    <t xml:space="preserve">  Increase/(Decrease) in Accounts Payable</t>
  </si>
  <si>
    <t xml:space="preserve">  NET CASH FROM OPERATIONS (CFO)</t>
  </si>
  <si>
    <t xml:space="preserve">  INVESTING ACTIVITIES</t>
  </si>
  <si>
    <t xml:space="preserve">  Capital Expenditures</t>
  </si>
  <si>
    <t xml:space="preserve">  Acquisitions (net of cash)</t>
  </si>
  <si>
    <t xml:space="preserve">  NET CASH FROM INVESTING (CFI)</t>
  </si>
  <si>
    <t xml:space="preserve">  FINANCING ACTIVITIES</t>
  </si>
  <si>
    <t xml:space="preserve">  NET CASH FROM FINANCING (CFF)</t>
  </si>
  <si>
    <t xml:space="preserve">  CASH RECONCILIATION</t>
  </si>
  <si>
    <t xml:space="preserve">  Beginning Cash Balance</t>
  </si>
  <si>
    <t xml:space="preserve">  Net Change in Cash</t>
  </si>
  <si>
    <t xml:space="preserve">  ENDING CASH BALANCE</t>
  </si>
  <si>
    <t xml:space="preserve">  FREE CASH FLOW (FCF)</t>
  </si>
  <si>
    <t xml:space="preserve">    FCF Margin %</t>
  </si>
  <si>
    <t xml:space="preserve">  SCHEDULE</t>
  </si>
  <si>
    <t xml:space="preserve">  PP&amp;E ROLL-FORWARD SCHEDULE</t>
  </si>
  <si>
    <t xml:space="preserve">  Beginning Gross PP&amp;E</t>
  </si>
  <si>
    <t xml:space="preserve">  Plus: Capital Expenditures</t>
  </si>
  <si>
    <t xml:space="preserve">  Less: Disposals / Write-offs</t>
  </si>
  <si>
    <t xml:space="preserve">  Ending Gross PP&amp;E</t>
  </si>
  <si>
    <t xml:space="preserve">  Beginning Accumulated Depreciation</t>
  </si>
  <si>
    <t xml:space="preserve">  Plus: Depreciation Expense</t>
  </si>
  <si>
    <t xml:space="preserve">  Less: Accumulated Dep. on Disposals</t>
  </si>
  <si>
    <t xml:space="preserve">  Ending Accumulated Depreciation</t>
  </si>
  <si>
    <t xml:space="preserve">  Net PP&amp;E (Ending)</t>
  </si>
  <si>
    <t xml:space="preserve">  DEBT SCHEDULE</t>
  </si>
  <si>
    <t xml:space="preserve">  Revolver – Beginning Balance</t>
  </si>
  <si>
    <t xml:space="preserve">  Revolver – Draws / (Repayments)</t>
  </si>
  <si>
    <t xml:space="preserve">  Revolver – Ending Balance</t>
  </si>
  <si>
    <t xml:space="preserve">  Term Loan A – Beginning Balance</t>
  </si>
  <si>
    <t xml:space="preserve">  Term Loan A – Scheduled Amortization</t>
  </si>
  <si>
    <t xml:space="preserve">  Term Loan A – Ending Balance</t>
  </si>
  <si>
    <t xml:space="preserve">  Senior Notes – Principal Balance</t>
  </si>
  <si>
    <t xml:space="preserve">  Total Debt (Gross)</t>
  </si>
  <si>
    <t xml:space="preserve">  Less: Cash &amp; Equivalents</t>
  </si>
  <si>
    <t xml:space="preserve">  Net Debt</t>
  </si>
  <si>
    <t xml:space="preserve">  LTM EBITDA (Reference)</t>
  </si>
  <si>
    <t xml:space="preserve">  Net Leverage Ratio (x)</t>
  </si>
  <si>
    <t xml:space="preserve">  WORKING CAPITAL ANALYSIS</t>
  </si>
  <si>
    <t xml:space="preserve">  Accounts Receivable (net)</t>
  </si>
  <si>
    <t xml:space="preserve">  Prepaid Expenses &amp; Other CA</t>
  </si>
  <si>
    <t xml:space="preserve">  Deferred Revenue</t>
  </si>
  <si>
    <t xml:space="preserve">  Net Working Capital</t>
  </si>
  <si>
    <t xml:space="preserve">  DSO (days)</t>
  </si>
  <si>
    <t xml:space="preserve">  DIO (days)</t>
  </si>
  <si>
    <t xml:space="preserve">  DPO (days)</t>
  </si>
  <si>
    <t xml:space="preserve">  Cash Conversion Cycle (days)</t>
  </si>
  <si>
    <t xml:space="preserve">  If any cell above shows non-zero, trace: (1) Retained Earnings linkage  (2) Cash plug  (3) Missing line items</t>
  </si>
  <si>
    <t>BACK --&gt;</t>
  </si>
  <si>
    <t xml:space="preserve">  INCOME STATEMENT </t>
  </si>
  <si>
    <t xml:space="preserve">  BALANCE SHEET</t>
  </si>
  <si>
    <t xml:space="preserve">  CASH FLOW STATEMENT</t>
  </si>
  <si>
    <t xml:space="preserve">  SUPPORTING SCHEDULES</t>
  </si>
  <si>
    <t xml:space="preserve">  Revenue – Segment A</t>
  </si>
  <si>
    <t xml:space="preserve">  Revenue – Segment B</t>
  </si>
  <si>
    <t xml:space="preserve">  Revenue – Segment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</si>
</sst>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0.0%;\(0.0%\);\-"/>
    <numFmt numFmtId="166" formatCode="#,##0.0;\(#,##0.0\);\-"/>
    <numFmt numFmtId="167" formatCode="#,##0;\(#,##0\);\-"/>
    <numFmt numFmtId="168" formatCode="0.0\x;\(0.0&quot;x)&quot;;\-"/>
    <numFmt numFmtId="169" formatCode="\$#,##0.00;&quot;($&quot;#,##0.00\);\-"/>
  </numFmts>
  <fonts count="20" x14ac:knownFonts="1">
    <font>
      <sz val="11"/>
      <color theme="1"/>
      <name val="Calibri"/>
      <family val="2"/>
      <charset val="1"/>
    </font>
    <font>
      <sz val="11"/>
      <name val="Cambria"/>
      <family val="1"/>
      <scheme val="major"/>
    </font>
    <font>
      <b/>
      <sz val="28"/>
      <name val="Cambria"/>
      <family val="1"/>
      <scheme val="major"/>
    </font>
    <font>
      <i/>
      <sz val="11"/>
      <name val="Cambria"/>
      <family val="1"/>
      <scheme val="major"/>
    </font>
    <font>
      <i/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i/>
      <sz val="9"/>
      <name val="Cambria"/>
      <family val="1"/>
      <scheme val="major"/>
    </font>
    <font>
      <b/>
      <sz val="9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8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u/>
      <sz val="11"/>
      <color theme="10"/>
      <name val="Calibri"/>
      <family val="2"/>
      <charset val="1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EBF5FB"/>
        <bgColor rgb="FFEAF4EA"/>
      </patternFill>
    </fill>
    <fill>
      <patternFill patternType="solid">
        <fgColor rgb="FFEAF4EA"/>
        <bgColor rgb="FFEBF5FB"/>
      </patternFill>
    </fill>
    <fill>
      <patternFill patternType="solid">
        <fgColor rgb="FFFFFFFF"/>
        <bgColor rgb="FFF0FAF0"/>
      </patternFill>
    </fill>
    <fill>
      <patternFill patternType="solid">
        <fgColor rgb="FFF0FAF0"/>
        <bgColor rgb="FFEBF5FB"/>
      </patternFill>
    </fill>
    <fill>
      <patternFill patternType="solid">
        <fgColor rgb="FFE8ECF0"/>
        <bgColor rgb="FFEAF4EA"/>
      </patternFill>
    </fill>
    <fill>
      <patternFill patternType="solid">
        <fgColor rgb="FFD6EAF8"/>
        <bgColor rgb="FFE8ECF0"/>
      </patternFill>
    </fill>
    <fill>
      <patternFill patternType="solid">
        <fgColor rgb="FFD5F5E3"/>
        <bgColor rgb="FFD6EAF8"/>
      </patternFill>
    </fill>
    <fill>
      <patternFill patternType="solid">
        <fgColor theme="4" tint="0.39997558519241921"/>
        <bgColor rgb="FF2D3E4F"/>
      </patternFill>
    </fill>
    <fill>
      <patternFill patternType="solid">
        <fgColor theme="4" tint="0.59999389629810485"/>
        <bgColor rgb="FF3D5166"/>
      </patternFill>
    </fill>
    <fill>
      <patternFill patternType="solid">
        <fgColor theme="3" tint="0.59999389629810485"/>
        <bgColor rgb="FF444444"/>
      </patternFill>
    </fill>
    <fill>
      <patternFill patternType="solid">
        <fgColor theme="3" tint="0.59999389629810485"/>
        <bgColor rgb="FF2D3E4F"/>
      </patternFill>
    </fill>
    <fill>
      <patternFill patternType="solid">
        <fgColor theme="4" tint="0.39997558519241921"/>
        <bgColor rgb="FF444444"/>
      </patternFill>
    </fill>
    <fill>
      <patternFill patternType="solid">
        <fgColor theme="4" tint="0.59999389629810485"/>
        <bgColor rgb="FF444444"/>
      </patternFill>
    </fill>
    <fill>
      <patternFill patternType="solid">
        <fgColor theme="0" tint="-0.249977111117893"/>
        <bgColor rgb="FFFFD7D7"/>
      </patternFill>
    </fill>
    <fill>
      <patternFill patternType="solid">
        <fgColor theme="0" tint="-0.249977111117893"/>
        <bgColor rgb="FF2D3E4F"/>
      </patternFill>
    </fill>
    <fill>
      <patternFill patternType="solid">
        <fgColor theme="0" tint="-0.14999847407452621"/>
        <bgColor rgb="FF444444"/>
      </patternFill>
    </fill>
    <fill>
      <patternFill patternType="solid">
        <fgColor theme="0" tint="-0.14999847407452621"/>
        <bgColor rgb="FFFFD7D7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/>
      <bottom style="medium">
        <color rgb="FFC9A84C"/>
      </bottom>
      <diagonal/>
    </border>
    <border>
      <left style="medium">
        <color rgb="FF1E2A35"/>
      </left>
      <right style="medium">
        <color rgb="FF1E2A35"/>
      </right>
      <top style="medium">
        <color rgb="FF1E2A35"/>
      </top>
      <bottom style="medium">
        <color rgb="FF1E2A3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9" fillId="9" borderId="0" xfId="0" applyFont="1" applyFill="1" applyAlignment="1">
      <alignment horizontal="left" vertical="center"/>
    </xf>
    <xf numFmtId="0" fontId="10" fillId="0" borderId="0" xfId="0" applyFont="1"/>
    <xf numFmtId="0" fontId="11" fillId="10" borderId="0" xfId="0" applyFont="1" applyFill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3" fillId="3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165" fontId="13" fillId="4" borderId="1" xfId="0" applyNumberFormat="1" applyFont="1" applyFill="1" applyBorder="1" applyAlignment="1">
      <alignment horizontal="right" vertical="center"/>
    </xf>
    <xf numFmtId="165" fontId="13" fillId="5" borderId="1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right" vertical="center"/>
    </xf>
    <xf numFmtId="166" fontId="13" fillId="3" borderId="1" xfId="0" applyNumberFormat="1" applyFont="1" applyFill="1" applyBorder="1" applyAlignment="1">
      <alignment horizontal="right" vertical="center"/>
    </xf>
    <xf numFmtId="166" fontId="13" fillId="4" borderId="1" xfId="0" applyNumberFormat="1" applyFont="1" applyFill="1" applyBorder="1" applyAlignment="1">
      <alignment horizontal="right" vertical="center"/>
    </xf>
    <xf numFmtId="166" fontId="13" fillId="5" borderId="1" xfId="0" applyNumberFormat="1" applyFont="1" applyFill="1" applyBorder="1" applyAlignment="1">
      <alignment horizontal="right" vertical="center"/>
    </xf>
    <xf numFmtId="0" fontId="9" fillId="12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4" fillId="0" borderId="0" xfId="0" applyFont="1"/>
    <xf numFmtId="167" fontId="13" fillId="3" borderId="1" xfId="0" applyNumberFormat="1" applyFont="1" applyFill="1" applyBorder="1" applyAlignment="1">
      <alignment horizontal="right" vertical="center"/>
    </xf>
    <xf numFmtId="168" fontId="13" fillId="3" borderId="1" xfId="0" applyNumberFormat="1" applyFont="1" applyFill="1" applyBorder="1" applyAlignment="1">
      <alignment horizontal="right" vertical="center"/>
    </xf>
    <xf numFmtId="168" fontId="13" fillId="4" borderId="1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64" fontId="13" fillId="0" borderId="1" xfId="0" applyNumberFormat="1" applyFont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165" fontId="16" fillId="6" borderId="1" xfId="0" applyNumberFormat="1" applyFont="1" applyFill="1" applyBorder="1" applyAlignment="1">
      <alignment horizontal="right" vertical="center"/>
    </xf>
    <xf numFmtId="0" fontId="11" fillId="15" borderId="3" xfId="0" applyFont="1" applyFill="1" applyBorder="1" applyAlignment="1">
      <alignment horizontal="left" vertical="center"/>
    </xf>
    <xf numFmtId="164" fontId="11" fillId="15" borderId="3" xfId="0" applyNumberFormat="1" applyFont="1" applyFill="1" applyBorder="1" applyAlignment="1">
      <alignment horizontal="right" vertical="center"/>
    </xf>
    <xf numFmtId="0" fontId="11" fillId="7" borderId="3" xfId="0" applyFont="1" applyFill="1" applyBorder="1" applyAlignment="1">
      <alignment horizontal="left" vertical="center"/>
    </xf>
    <xf numFmtId="164" fontId="11" fillId="7" borderId="3" xfId="0" applyNumberFormat="1" applyFont="1" applyFill="1" applyBorder="1" applyAlignment="1">
      <alignment horizontal="right" vertical="center"/>
    </xf>
    <xf numFmtId="0" fontId="11" fillId="9" borderId="2" xfId="0" applyFont="1" applyFill="1" applyBorder="1" applyAlignment="1">
      <alignment horizontal="left" vertical="center"/>
    </xf>
    <xf numFmtId="169" fontId="13" fillId="0" borderId="1" xfId="0" applyNumberFormat="1" applyFont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0" fontId="11" fillId="18" borderId="3" xfId="0" applyFont="1" applyFill="1" applyBorder="1" applyAlignment="1">
      <alignment horizontal="left" vertical="center"/>
    </xf>
    <xf numFmtId="164" fontId="11" fillId="18" borderId="3" xfId="0" applyNumberFormat="1" applyFont="1" applyFill="1" applyBorder="1" applyAlignment="1">
      <alignment horizontal="right" vertical="center"/>
    </xf>
    <xf numFmtId="0" fontId="11" fillId="6" borderId="3" xfId="0" applyFont="1" applyFill="1" applyBorder="1" applyAlignment="1">
      <alignment horizontal="left" vertical="center"/>
    </xf>
    <xf numFmtId="164" fontId="11" fillId="6" borderId="3" xfId="0" applyNumberFormat="1" applyFont="1" applyFill="1" applyBorder="1" applyAlignment="1">
      <alignment horizontal="right" vertical="center"/>
    </xf>
    <xf numFmtId="0" fontId="10" fillId="0" borderId="0" xfId="0" applyFont="1" applyFill="1"/>
    <xf numFmtId="0" fontId="11" fillId="16" borderId="2" xfId="0" applyFont="1" applyFill="1" applyBorder="1" applyAlignment="1">
      <alignment horizontal="left" vertical="center"/>
    </xf>
    <xf numFmtId="0" fontId="11" fillId="17" borderId="3" xfId="0" applyFont="1" applyFill="1" applyBorder="1"/>
    <xf numFmtId="164" fontId="11" fillId="17" borderId="3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164" fontId="11" fillId="8" borderId="3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168" fontId="13" fillId="6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9" fillId="9" borderId="0" xfId="1" applyFont="1" applyFill="1" applyBorder="1" applyAlignment="1">
      <alignment horizontal="center" vertical="center"/>
    </xf>
    <xf numFmtId="0" fontId="9" fillId="12" borderId="0" xfId="1" applyFont="1" applyFill="1" applyAlignment="1">
      <alignment horizontal="center" vertical="center"/>
    </xf>
    <xf numFmtId="0" fontId="9" fillId="9" borderId="0" xfId="1" applyFont="1" applyFill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6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9" borderId="0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9" fillId="0" borderId="13" xfId="1" applyFont="1" applyBorder="1" applyAlignment="1">
      <alignment horizontal="left" vertical="center"/>
    </xf>
    <xf numFmtId="0" fontId="19" fillId="0" borderId="14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ont>
        <b/>
        <sz val="10"/>
        <color rgb="FFFF0000"/>
        <name val="Arial"/>
        <charset val="1"/>
      </font>
      <fill>
        <patternFill>
          <bgColor rgb="FFFFD7D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0BEC5"/>
      <rgbColor rgb="FF888888"/>
      <rgbColor rgb="FF9999FF"/>
      <rgbColor rgb="FF993366"/>
      <rgbColor rgb="FFF0FAF0"/>
      <rgbColor rgb="FFD6EAF8"/>
      <rgbColor rgb="FF660066"/>
      <rgbColor rgb="FFFF8080"/>
      <rgbColor rgb="FF0066CC"/>
      <rgbColor rgb="FFC8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AF4EA"/>
      <rgbColor rgb="FFA0B4C8"/>
      <rgbColor rgb="FFFFD7D7"/>
      <rgbColor rgb="FFE8ECF0"/>
      <rgbColor rgb="FFF0DFA0"/>
      <rgbColor rgb="FF3366FF"/>
      <rgbColor rgb="FF33CCCC"/>
      <rgbColor rgb="FF99CC00"/>
      <rgbColor rgb="FFFFCC00"/>
      <rgbColor rgb="FFFF9900"/>
      <rgbColor rgb="FFFF6600"/>
      <rgbColor rgb="FF4A6278"/>
      <rgbColor rgb="FFC9A84C"/>
      <rgbColor rgb="FF1A5276"/>
      <rgbColor rgb="FF2E7D32"/>
      <rgbColor rgb="FF444444"/>
      <rgbColor rgb="FF1E2A35"/>
      <rgbColor rgb="FF993300"/>
      <rgbColor rgb="FF993366"/>
      <rgbColor rgb="FF3D5166"/>
      <rgbColor rgb="FF2D3E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5"/>
  </sheetPr>
  <dimension ref="B1:I35"/>
  <sheetViews>
    <sheetView showGridLines="0" topLeftCell="A5" zoomScale="128" zoomScaleNormal="68" workbookViewId="0">
      <selection activeCell="G16" sqref="G16"/>
    </sheetView>
  </sheetViews>
  <sheetFormatPr defaultColWidth="8.7109375" defaultRowHeight="14.25" x14ac:dyDescent="0.2"/>
  <cols>
    <col min="1" max="1" width="4" style="1" customWidth="1"/>
    <col min="2" max="3" width="16" style="1" customWidth="1"/>
    <col min="4" max="4" width="20.42578125" style="1" bestFit="1" customWidth="1"/>
    <col min="5" max="10" width="16" style="1" customWidth="1"/>
    <col min="11" max="16384" width="8.7109375" style="1"/>
  </cols>
  <sheetData>
    <row r="1" spans="2:9" ht="19.5" customHeight="1" x14ac:dyDescent="0.2"/>
    <row r="8" spans="2:9" ht="60" customHeight="1" x14ac:dyDescent="0.2">
      <c r="B8" s="64" t="s">
        <v>0</v>
      </c>
      <c r="C8" s="65"/>
      <c r="D8" s="65"/>
      <c r="E8" s="65"/>
      <c r="F8" s="65"/>
      <c r="G8" s="65"/>
      <c r="H8" s="65"/>
      <c r="I8" s="66"/>
    </row>
    <row r="9" spans="2:9" x14ac:dyDescent="0.2">
      <c r="B9" s="67" t="s">
        <v>1</v>
      </c>
      <c r="C9" s="68"/>
      <c r="D9" s="68"/>
      <c r="E9" s="68"/>
      <c r="F9" s="68"/>
      <c r="G9" s="68"/>
      <c r="H9" s="68"/>
      <c r="I9" s="69"/>
    </row>
    <row r="10" spans="2:9" ht="30" customHeight="1" x14ac:dyDescent="0.2">
      <c r="B10" s="70"/>
      <c r="C10" s="71"/>
      <c r="D10" s="71"/>
      <c r="E10" s="71"/>
      <c r="F10" s="71"/>
      <c r="G10" s="71"/>
      <c r="H10" s="71"/>
      <c r="I10" s="72"/>
    </row>
    <row r="13" spans="2:9" ht="15.75" x14ac:dyDescent="0.2">
      <c r="C13" s="73" t="s">
        <v>2</v>
      </c>
      <c r="D13" s="73"/>
      <c r="E13" s="60"/>
      <c r="F13" s="60"/>
      <c r="G13" s="60"/>
      <c r="H13" s="60"/>
    </row>
    <row r="14" spans="2:9" ht="7.5" customHeight="1" x14ac:dyDescent="0.2">
      <c r="C14" s="74" t="s">
        <v>3</v>
      </c>
      <c r="D14" s="76" t="s">
        <v>4</v>
      </c>
    </row>
    <row r="15" spans="2:9" ht="21.75" customHeight="1" x14ac:dyDescent="0.2">
      <c r="C15" s="75"/>
      <c r="D15" s="77"/>
      <c r="E15" s="2"/>
      <c r="F15" s="2"/>
      <c r="G15" s="2"/>
      <c r="H15" s="2"/>
    </row>
    <row r="16" spans="2:9" ht="8.25" customHeight="1" x14ac:dyDescent="0.2">
      <c r="C16" s="74" t="s">
        <v>5</v>
      </c>
      <c r="D16" s="76" t="s">
        <v>6</v>
      </c>
    </row>
    <row r="17" spans="3:8" ht="21.75" customHeight="1" x14ac:dyDescent="0.2">
      <c r="C17" s="75"/>
      <c r="D17" s="77"/>
      <c r="E17" s="2"/>
      <c r="F17" s="2"/>
      <c r="G17" s="2"/>
      <c r="H17" s="2"/>
    </row>
    <row r="18" spans="3:8" ht="9" customHeight="1" x14ac:dyDescent="0.2">
      <c r="C18" s="74" t="s">
        <v>7</v>
      </c>
      <c r="D18" s="76" t="s">
        <v>8</v>
      </c>
    </row>
    <row r="19" spans="3:8" ht="21.75" customHeight="1" x14ac:dyDescent="0.2">
      <c r="C19" s="75"/>
      <c r="D19" s="77"/>
      <c r="E19" s="2"/>
      <c r="F19" s="2"/>
      <c r="G19" s="2"/>
      <c r="H19" s="2"/>
    </row>
    <row r="20" spans="3:8" ht="9.75" customHeight="1" x14ac:dyDescent="0.2">
      <c r="C20" s="74" t="s">
        <v>9</v>
      </c>
      <c r="D20" s="76" t="s">
        <v>10</v>
      </c>
    </row>
    <row r="21" spans="3:8" ht="21.75" customHeight="1" x14ac:dyDescent="0.2">
      <c r="C21" s="75"/>
      <c r="D21" s="77"/>
      <c r="E21" s="2"/>
      <c r="F21" s="2"/>
      <c r="G21" s="2"/>
      <c r="H21" s="2"/>
    </row>
    <row r="22" spans="3:8" ht="10.5" customHeight="1" x14ac:dyDescent="0.2">
      <c r="C22" s="74" t="s">
        <v>11</v>
      </c>
      <c r="D22" s="76" t="s">
        <v>12</v>
      </c>
    </row>
    <row r="23" spans="3:8" ht="21.75" customHeight="1" x14ac:dyDescent="0.2">
      <c r="C23" s="75"/>
      <c r="D23" s="77"/>
      <c r="E23" s="2"/>
      <c r="F23" s="2"/>
      <c r="G23" s="2"/>
      <c r="H23" s="2"/>
    </row>
    <row r="24" spans="3:8" ht="12" customHeight="1" x14ac:dyDescent="0.2">
      <c r="C24" s="74" t="s">
        <v>13</v>
      </c>
      <c r="D24" s="76" t="s">
        <v>14</v>
      </c>
    </row>
    <row r="25" spans="3:8" ht="21.75" customHeight="1" x14ac:dyDescent="0.2">
      <c r="C25" s="75"/>
      <c r="D25" s="77"/>
      <c r="E25" s="2"/>
      <c r="F25" s="2"/>
      <c r="G25" s="2"/>
      <c r="H25" s="2"/>
    </row>
    <row r="30" spans="3:8" x14ac:dyDescent="0.2">
      <c r="C30" s="3"/>
      <c r="D30" s="3"/>
      <c r="E30" s="3"/>
      <c r="F30" s="3"/>
      <c r="G30" s="3"/>
      <c r="H30" s="3"/>
    </row>
    <row r="32" spans="3:8" x14ac:dyDescent="0.2">
      <c r="D32" s="4"/>
      <c r="E32" s="5"/>
      <c r="F32" s="5"/>
      <c r="G32" s="5"/>
      <c r="H32" s="5"/>
    </row>
    <row r="33" spans="4:8" x14ac:dyDescent="0.2">
      <c r="D33" s="4"/>
      <c r="E33" s="5"/>
      <c r="F33" s="5"/>
      <c r="G33" s="5"/>
      <c r="H33" s="5"/>
    </row>
    <row r="34" spans="4:8" x14ac:dyDescent="0.2">
      <c r="D34" s="4"/>
      <c r="E34" s="5"/>
      <c r="F34" s="5"/>
      <c r="G34" s="5"/>
      <c r="H34" s="5"/>
    </row>
    <row r="35" spans="4:8" x14ac:dyDescent="0.2">
      <c r="D35" s="4"/>
      <c r="E35" s="5"/>
      <c r="F35" s="5"/>
      <c r="G35" s="5"/>
      <c r="H35" s="5"/>
    </row>
  </sheetData>
  <mergeCells count="27">
    <mergeCell ref="C22:C23"/>
    <mergeCell ref="D22:D23"/>
    <mergeCell ref="C24:C25"/>
    <mergeCell ref="D24:D25"/>
    <mergeCell ref="C16:C17"/>
    <mergeCell ref="D16:D17"/>
    <mergeCell ref="C18:C19"/>
    <mergeCell ref="D18:D19"/>
    <mergeCell ref="C20:C21"/>
    <mergeCell ref="D20:D21"/>
    <mergeCell ref="C30:H30"/>
    <mergeCell ref="E32:H32"/>
    <mergeCell ref="E33:H33"/>
    <mergeCell ref="E34:H34"/>
    <mergeCell ref="E35:H35"/>
    <mergeCell ref="E17:H17"/>
    <mergeCell ref="E19:H19"/>
    <mergeCell ref="E21:H21"/>
    <mergeCell ref="E23:H23"/>
    <mergeCell ref="E25:H25"/>
    <mergeCell ref="B8:I8"/>
    <mergeCell ref="B9:I9"/>
    <mergeCell ref="B10:I10"/>
    <mergeCell ref="E15:H15"/>
    <mergeCell ref="C13:D13"/>
    <mergeCell ref="D14:D15"/>
    <mergeCell ref="C14:C15"/>
  </mergeCells>
  <hyperlinks>
    <hyperlink ref="D14" location="Inputs!A1" display="Inputs" xr:uid="{282FBAD1-6C9E-4970-8339-E5F1C8E86F95}"/>
    <hyperlink ref="D16" location="Assumptions!A1" display="Assumptions" xr:uid="{B123E7EE-3768-4631-8D7B-0003653CF6DD}"/>
    <hyperlink ref="D18" location="'Income Statement'!A1" display="Income Statement" xr:uid="{D84788F3-0B78-42CC-96D1-8C3244280AB0}"/>
    <hyperlink ref="D20" location="'Balance Sheet'!A1" display="Balance Sheet" xr:uid="{6B433800-15EA-4E12-893B-5436C05A9C7B}"/>
    <hyperlink ref="D22" location="'Cash Flow Statement'!A1" display="Cash Flow" xr:uid="{A9CF61C9-6F37-4757-A269-BEB2109070BB}"/>
    <hyperlink ref="D24" location="'Supporting Schedules'!A1" display="Supporting Schedules" xr:uid="{F14EB10A-1EDC-42AF-86E8-69355B3BF859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3E4F"/>
  </sheetPr>
  <dimension ref="B1:J53"/>
  <sheetViews>
    <sheetView showGridLines="0" zoomScaleNormal="100" workbookViewId="0">
      <pane xSplit="2" ySplit="3" topLeftCell="C17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4.25" x14ac:dyDescent="0.2"/>
  <cols>
    <col min="1" max="1" width="3" style="7" customWidth="1"/>
    <col min="2" max="2" width="39.85546875" style="7" bestFit="1" customWidth="1"/>
    <col min="3" max="10" width="13" style="7" customWidth="1"/>
    <col min="11" max="16384" width="8.7109375" style="7"/>
  </cols>
  <sheetData>
    <row r="1" spans="2:10" ht="31.5" customHeight="1" x14ac:dyDescent="0.2">
      <c r="B1" s="6" t="s">
        <v>15</v>
      </c>
      <c r="C1" s="6"/>
      <c r="D1" s="6"/>
      <c r="E1" s="6"/>
      <c r="F1" s="6"/>
      <c r="G1" s="6"/>
      <c r="H1" s="6"/>
      <c r="I1" s="6"/>
      <c r="J1" s="61" t="s">
        <v>219</v>
      </c>
    </row>
    <row r="2" spans="2:10" ht="15.75" customHeight="1" x14ac:dyDescent="0.2"/>
    <row r="3" spans="2:10" ht="19.5" customHeight="1" x14ac:dyDescent="0.2">
      <c r="B3" s="8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</row>
    <row r="4" spans="2:10" ht="15.75" customHeight="1" x14ac:dyDescent="0.2">
      <c r="B4" s="10" t="s">
        <v>25</v>
      </c>
      <c r="C4" s="10"/>
      <c r="D4" s="10"/>
      <c r="E4" s="10"/>
      <c r="F4" s="10"/>
      <c r="G4" s="10"/>
      <c r="H4" s="10"/>
      <c r="I4" s="10"/>
      <c r="J4" s="10"/>
    </row>
    <row r="5" spans="2:10" ht="15.75" customHeight="1" x14ac:dyDescent="0.2">
      <c r="B5" s="11" t="s">
        <v>26</v>
      </c>
      <c r="C5" s="12"/>
      <c r="D5" s="12"/>
      <c r="E5" s="12"/>
      <c r="F5" s="13"/>
      <c r="G5" s="13"/>
      <c r="H5" s="13"/>
      <c r="I5" s="13"/>
      <c r="J5" s="13"/>
    </row>
    <row r="6" spans="2:10" ht="15.75" customHeight="1" x14ac:dyDescent="0.2">
      <c r="B6" s="14" t="s">
        <v>27</v>
      </c>
      <c r="C6" s="15"/>
      <c r="D6" s="15"/>
      <c r="E6" s="15"/>
      <c r="F6" s="16"/>
      <c r="G6" s="16"/>
      <c r="H6" s="16"/>
      <c r="I6" s="16"/>
      <c r="J6" s="16"/>
    </row>
    <row r="7" spans="2:10" ht="15.75" customHeight="1" x14ac:dyDescent="0.2">
      <c r="B7" s="11" t="s">
        <v>28</v>
      </c>
      <c r="C7" s="12"/>
      <c r="D7" s="12"/>
      <c r="E7" s="12"/>
      <c r="F7" s="13"/>
      <c r="G7" s="13"/>
      <c r="H7" s="13"/>
      <c r="I7" s="13"/>
      <c r="J7" s="13"/>
    </row>
    <row r="8" spans="2:10" ht="15.75" customHeight="1" x14ac:dyDescent="0.2">
      <c r="B8" s="14" t="s">
        <v>29</v>
      </c>
      <c r="C8" s="15"/>
      <c r="D8" s="15"/>
      <c r="E8" s="15"/>
      <c r="F8" s="16"/>
      <c r="G8" s="16"/>
      <c r="H8" s="16"/>
      <c r="I8" s="16"/>
      <c r="J8" s="16"/>
    </row>
    <row r="9" spans="2:10" ht="15.75" customHeight="1" x14ac:dyDescent="0.2">
      <c r="B9" s="11" t="s">
        <v>30</v>
      </c>
      <c r="C9" s="12"/>
      <c r="D9" s="12"/>
      <c r="E9" s="12"/>
      <c r="F9" s="13"/>
      <c r="G9" s="13"/>
      <c r="H9" s="13"/>
      <c r="I9" s="13"/>
      <c r="J9" s="13"/>
    </row>
    <row r="10" spans="2:10" ht="15.75" customHeight="1" x14ac:dyDescent="0.2">
      <c r="B10" s="14" t="s">
        <v>31</v>
      </c>
      <c r="C10" s="15"/>
      <c r="D10" s="15"/>
      <c r="E10" s="15"/>
      <c r="F10" s="16"/>
      <c r="G10" s="16"/>
      <c r="H10" s="16"/>
      <c r="I10" s="16"/>
      <c r="J10" s="16"/>
    </row>
    <row r="11" spans="2:10" ht="15.75" customHeight="1" x14ac:dyDescent="0.2">
      <c r="B11" s="11" t="s">
        <v>32</v>
      </c>
      <c r="C11" s="12"/>
      <c r="D11" s="12"/>
      <c r="E11" s="12"/>
      <c r="F11" s="13"/>
      <c r="G11" s="13"/>
      <c r="H11" s="13"/>
      <c r="I11" s="13"/>
      <c r="J11" s="13"/>
    </row>
    <row r="12" spans="2:10" ht="15.75" customHeight="1" x14ac:dyDescent="0.2">
      <c r="B12" s="14" t="s">
        <v>33</v>
      </c>
      <c r="C12" s="15"/>
      <c r="D12" s="15"/>
      <c r="E12" s="15"/>
      <c r="F12" s="16"/>
      <c r="G12" s="16"/>
      <c r="H12" s="16"/>
      <c r="I12" s="16"/>
      <c r="J12" s="16"/>
    </row>
    <row r="13" spans="2:10" ht="15.75" customHeight="1" x14ac:dyDescent="0.2">
      <c r="B13" s="11" t="s">
        <v>34</v>
      </c>
      <c r="C13" s="12"/>
      <c r="D13" s="12"/>
      <c r="E13" s="12"/>
      <c r="F13" s="13"/>
      <c r="G13" s="13"/>
      <c r="H13" s="13"/>
      <c r="I13" s="13"/>
      <c r="J13" s="13"/>
    </row>
    <row r="14" spans="2:10" ht="15.75" customHeight="1" x14ac:dyDescent="0.2">
      <c r="B14" s="14" t="s">
        <v>35</v>
      </c>
      <c r="C14" s="17"/>
      <c r="D14" s="17"/>
      <c r="E14" s="17"/>
      <c r="F14" s="18"/>
      <c r="G14" s="18"/>
      <c r="H14" s="18"/>
      <c r="I14" s="18"/>
      <c r="J14" s="18"/>
    </row>
    <row r="15" spans="2:10" ht="15.75" customHeight="1" x14ac:dyDescent="0.2">
      <c r="B15" s="11" t="s">
        <v>36</v>
      </c>
      <c r="C15" s="19"/>
      <c r="D15" s="19"/>
      <c r="E15" s="19"/>
      <c r="F15" s="20"/>
      <c r="G15" s="20"/>
      <c r="H15" s="20"/>
      <c r="I15" s="20"/>
      <c r="J15" s="20"/>
    </row>
    <row r="16" spans="2:10" ht="15.75" customHeight="1" x14ac:dyDescent="0.2">
      <c r="B16" s="14" t="s">
        <v>37</v>
      </c>
      <c r="C16" s="21"/>
      <c r="D16" s="21"/>
      <c r="E16" s="21"/>
      <c r="F16" s="22"/>
      <c r="G16" s="22"/>
      <c r="H16" s="22"/>
      <c r="I16" s="22"/>
      <c r="J16" s="22"/>
    </row>
    <row r="17" spans="2:10" ht="15.75" customHeight="1" x14ac:dyDescent="0.2"/>
    <row r="18" spans="2:10" ht="15.75" customHeight="1" x14ac:dyDescent="0.2">
      <c r="B18" s="10" t="s">
        <v>38</v>
      </c>
      <c r="C18" s="10"/>
      <c r="D18" s="10"/>
      <c r="E18" s="10"/>
      <c r="F18" s="10"/>
      <c r="G18" s="10"/>
      <c r="H18" s="10"/>
      <c r="I18" s="10"/>
      <c r="J18" s="10"/>
    </row>
    <row r="19" spans="2:10" ht="15.75" customHeight="1" x14ac:dyDescent="0.2">
      <c r="B19" s="11" t="s">
        <v>39</v>
      </c>
      <c r="C19" s="12"/>
      <c r="D19" s="12"/>
      <c r="E19" s="12"/>
      <c r="F19" s="13"/>
      <c r="G19" s="13"/>
      <c r="H19" s="13"/>
      <c r="I19" s="13"/>
      <c r="J19" s="13"/>
    </row>
    <row r="20" spans="2:10" ht="15.75" customHeight="1" x14ac:dyDescent="0.2">
      <c r="B20" s="14" t="s">
        <v>40</v>
      </c>
      <c r="C20" s="15"/>
      <c r="D20" s="15"/>
      <c r="E20" s="15"/>
      <c r="F20" s="16"/>
      <c r="G20" s="16"/>
      <c r="H20" s="16"/>
      <c r="I20" s="16"/>
      <c r="J20" s="16"/>
    </row>
    <row r="21" spans="2:10" ht="15.75" customHeight="1" x14ac:dyDescent="0.2">
      <c r="B21" s="11" t="s">
        <v>41</v>
      </c>
      <c r="C21" s="12"/>
      <c r="D21" s="12"/>
      <c r="E21" s="12"/>
      <c r="F21" s="13"/>
      <c r="G21" s="13"/>
      <c r="H21" s="13"/>
      <c r="I21" s="13"/>
      <c r="J21" s="13"/>
    </row>
    <row r="22" spans="2:10" ht="15.75" customHeight="1" x14ac:dyDescent="0.2">
      <c r="B22" s="14" t="s">
        <v>42</v>
      </c>
      <c r="C22" s="15"/>
      <c r="D22" s="15"/>
      <c r="E22" s="15"/>
      <c r="F22" s="16"/>
      <c r="G22" s="16"/>
      <c r="H22" s="16"/>
      <c r="I22" s="16"/>
      <c r="J22" s="16"/>
    </row>
    <row r="23" spans="2:10" ht="15.75" customHeight="1" x14ac:dyDescent="0.2">
      <c r="B23" s="11" t="s">
        <v>43</v>
      </c>
      <c r="C23" s="12"/>
      <c r="D23" s="12"/>
      <c r="E23" s="12"/>
      <c r="F23" s="13"/>
      <c r="G23" s="13"/>
      <c r="H23" s="13"/>
      <c r="I23" s="13"/>
      <c r="J23" s="13"/>
    </row>
    <row r="24" spans="2:10" ht="15.75" customHeight="1" x14ac:dyDescent="0.2">
      <c r="B24" s="14" t="s">
        <v>44</v>
      </c>
      <c r="C24" s="15"/>
      <c r="D24" s="15"/>
      <c r="E24" s="15"/>
      <c r="F24" s="16"/>
      <c r="G24" s="16"/>
      <c r="H24" s="16"/>
      <c r="I24" s="16"/>
      <c r="J24" s="16"/>
    </row>
    <row r="25" spans="2:10" ht="15.75" customHeight="1" x14ac:dyDescent="0.2">
      <c r="B25" s="11" t="s">
        <v>45</v>
      </c>
      <c r="C25" s="12"/>
      <c r="D25" s="12"/>
      <c r="E25" s="12"/>
      <c r="F25" s="13"/>
      <c r="G25" s="13"/>
      <c r="H25" s="13"/>
      <c r="I25" s="13"/>
      <c r="J25" s="13"/>
    </row>
    <row r="26" spans="2:10" ht="15.75" customHeight="1" x14ac:dyDescent="0.2">
      <c r="B26" s="14" t="s">
        <v>46</v>
      </c>
      <c r="C26" s="15"/>
      <c r="D26" s="15"/>
      <c r="E26" s="15"/>
      <c r="F26" s="16"/>
      <c r="G26" s="16"/>
      <c r="H26" s="16"/>
      <c r="I26" s="16"/>
      <c r="J26" s="16"/>
    </row>
    <row r="27" spans="2:10" ht="15.75" customHeight="1" x14ac:dyDescent="0.2">
      <c r="B27" s="11" t="s">
        <v>47</v>
      </c>
      <c r="C27" s="12"/>
      <c r="D27" s="12"/>
      <c r="E27" s="12"/>
      <c r="F27" s="13"/>
      <c r="G27" s="13"/>
      <c r="H27" s="13"/>
      <c r="I27" s="13"/>
      <c r="J27" s="13"/>
    </row>
    <row r="28" spans="2:10" ht="15.75" customHeight="1" x14ac:dyDescent="0.2">
      <c r="B28" s="14" t="s">
        <v>48</v>
      </c>
      <c r="C28" s="15"/>
      <c r="D28" s="15"/>
      <c r="E28" s="15"/>
      <c r="F28" s="16"/>
      <c r="G28" s="16"/>
      <c r="H28" s="16"/>
      <c r="I28" s="16"/>
      <c r="J28" s="16"/>
    </row>
    <row r="29" spans="2:10" ht="15.75" customHeight="1" x14ac:dyDescent="0.2"/>
    <row r="30" spans="2:10" ht="15.75" customHeight="1" x14ac:dyDescent="0.2">
      <c r="B30" s="10" t="s">
        <v>49</v>
      </c>
      <c r="C30" s="10"/>
      <c r="D30" s="10"/>
      <c r="E30" s="10"/>
      <c r="F30" s="10"/>
      <c r="G30" s="10"/>
      <c r="H30" s="10"/>
      <c r="I30" s="10"/>
      <c r="J30" s="10"/>
    </row>
    <row r="31" spans="2:10" ht="15.75" customHeight="1" x14ac:dyDescent="0.2">
      <c r="B31" s="11" t="s">
        <v>50</v>
      </c>
      <c r="C31" s="12"/>
      <c r="D31" s="12"/>
      <c r="E31" s="12"/>
      <c r="F31" s="13"/>
      <c r="G31" s="13"/>
      <c r="H31" s="13"/>
      <c r="I31" s="13"/>
      <c r="J31" s="13"/>
    </row>
    <row r="32" spans="2:10" ht="15.75" customHeight="1" x14ac:dyDescent="0.2">
      <c r="B32" s="14" t="s">
        <v>51</v>
      </c>
      <c r="C32" s="15"/>
      <c r="D32" s="15"/>
      <c r="E32" s="15"/>
      <c r="F32" s="16"/>
      <c r="G32" s="16"/>
      <c r="H32" s="16"/>
      <c r="I32" s="16"/>
      <c r="J32" s="16"/>
    </row>
    <row r="33" spans="2:10" ht="15.75" customHeight="1" x14ac:dyDescent="0.2">
      <c r="B33" s="11" t="s">
        <v>52</v>
      </c>
      <c r="C33" s="12"/>
      <c r="D33" s="12"/>
      <c r="E33" s="12"/>
      <c r="F33" s="13"/>
      <c r="G33" s="13"/>
      <c r="H33" s="13"/>
      <c r="I33" s="13"/>
      <c r="J33" s="13"/>
    </row>
    <row r="34" spans="2:10" ht="15.75" customHeight="1" x14ac:dyDescent="0.2">
      <c r="B34" s="14" t="s">
        <v>53</v>
      </c>
      <c r="C34" s="15"/>
      <c r="D34" s="15"/>
      <c r="E34" s="15"/>
      <c r="F34" s="16"/>
      <c r="G34" s="16"/>
      <c r="H34" s="16"/>
      <c r="I34" s="16"/>
      <c r="J34" s="16"/>
    </row>
    <row r="35" spans="2:10" ht="15.75" customHeight="1" x14ac:dyDescent="0.2">
      <c r="B35" s="11" t="s">
        <v>54</v>
      </c>
      <c r="C35" s="12"/>
      <c r="D35" s="12"/>
      <c r="E35" s="12"/>
      <c r="F35" s="13"/>
      <c r="G35" s="13"/>
      <c r="H35" s="13"/>
      <c r="I35" s="13"/>
      <c r="J35" s="13"/>
    </row>
    <row r="36" spans="2:10" ht="15.75" customHeight="1" x14ac:dyDescent="0.2">
      <c r="B36" s="14" t="s">
        <v>55</v>
      </c>
      <c r="C36" s="15"/>
      <c r="D36" s="15"/>
      <c r="E36" s="15"/>
      <c r="F36" s="16"/>
      <c r="G36" s="16"/>
      <c r="H36" s="16"/>
      <c r="I36" s="16"/>
      <c r="J36" s="16"/>
    </row>
    <row r="37" spans="2:10" ht="15.75" customHeight="1" x14ac:dyDescent="0.2">
      <c r="B37" s="11" t="s">
        <v>56</v>
      </c>
      <c r="C37" s="12"/>
      <c r="D37" s="12"/>
      <c r="E37" s="12"/>
      <c r="F37" s="13"/>
      <c r="G37" s="13"/>
      <c r="H37" s="13"/>
      <c r="I37" s="13"/>
      <c r="J37" s="13"/>
    </row>
    <row r="38" spans="2:10" ht="15.75" customHeight="1" x14ac:dyDescent="0.2">
      <c r="B38" s="14" t="s">
        <v>57</v>
      </c>
      <c r="C38" s="15"/>
      <c r="D38" s="15"/>
      <c r="E38" s="15"/>
      <c r="F38" s="16"/>
      <c r="G38" s="16"/>
      <c r="H38" s="16"/>
      <c r="I38" s="16"/>
      <c r="J38" s="16"/>
    </row>
    <row r="39" spans="2:10" ht="15.75" customHeight="1" x14ac:dyDescent="0.2">
      <c r="B39" s="11" t="s">
        <v>58</v>
      </c>
      <c r="C39" s="12"/>
      <c r="D39" s="12"/>
      <c r="E39" s="12"/>
      <c r="F39" s="13"/>
      <c r="G39" s="13"/>
      <c r="H39" s="13"/>
      <c r="I39" s="13"/>
      <c r="J39" s="13"/>
    </row>
    <row r="40" spans="2:10" ht="15.75" customHeight="1" x14ac:dyDescent="0.2">
      <c r="B40" s="14" t="s">
        <v>59</v>
      </c>
      <c r="C40" s="15"/>
      <c r="D40" s="15"/>
      <c r="E40" s="15"/>
      <c r="F40" s="16"/>
      <c r="G40" s="16"/>
      <c r="H40" s="16"/>
      <c r="I40" s="16"/>
      <c r="J40" s="16"/>
    </row>
    <row r="41" spans="2:10" ht="15.75" customHeight="1" x14ac:dyDescent="0.2">
      <c r="B41" s="11" t="s">
        <v>60</v>
      </c>
      <c r="C41" s="12"/>
      <c r="D41" s="12"/>
      <c r="E41" s="12"/>
      <c r="F41" s="13"/>
      <c r="G41" s="13"/>
      <c r="H41" s="13"/>
      <c r="I41" s="13"/>
      <c r="J41" s="13"/>
    </row>
    <row r="42" spans="2:10" ht="15.75" customHeight="1" x14ac:dyDescent="0.2">
      <c r="B42" s="14" t="s">
        <v>61</v>
      </c>
      <c r="C42" s="15"/>
      <c r="D42" s="15"/>
      <c r="E42" s="15"/>
      <c r="F42" s="16"/>
      <c r="G42" s="16"/>
      <c r="H42" s="16"/>
      <c r="I42" s="16"/>
      <c r="J42" s="16"/>
    </row>
    <row r="43" spans="2:10" ht="15.75" customHeight="1" x14ac:dyDescent="0.2"/>
    <row r="44" spans="2:10" ht="15.75" customHeight="1" x14ac:dyDescent="0.2">
      <c r="B44" s="10" t="s">
        <v>62</v>
      </c>
      <c r="C44" s="10"/>
      <c r="D44" s="10"/>
      <c r="E44" s="10"/>
      <c r="F44" s="10"/>
      <c r="G44" s="10"/>
      <c r="H44" s="10"/>
      <c r="I44" s="10"/>
      <c r="J44" s="10"/>
    </row>
    <row r="45" spans="2:10" ht="15.75" customHeight="1" x14ac:dyDescent="0.2">
      <c r="B45" s="11" t="s">
        <v>63</v>
      </c>
      <c r="C45" s="12"/>
      <c r="D45" s="12"/>
      <c r="E45" s="12"/>
      <c r="F45" s="13"/>
      <c r="G45" s="13"/>
      <c r="H45" s="13"/>
      <c r="I45" s="13"/>
      <c r="J45" s="13"/>
    </row>
    <row r="46" spans="2:10" ht="15.75" customHeight="1" x14ac:dyDescent="0.2">
      <c r="B46" s="14" t="s">
        <v>64</v>
      </c>
      <c r="C46" s="15"/>
      <c r="D46" s="15"/>
      <c r="E46" s="15"/>
      <c r="F46" s="16"/>
      <c r="G46" s="16"/>
      <c r="H46" s="16"/>
      <c r="I46" s="16"/>
      <c r="J46" s="16"/>
    </row>
    <row r="47" spans="2:10" ht="15.75" customHeight="1" x14ac:dyDescent="0.2">
      <c r="B47" s="11" t="s">
        <v>65</v>
      </c>
      <c r="C47" s="12"/>
      <c r="D47" s="12"/>
      <c r="E47" s="12"/>
      <c r="F47" s="13"/>
      <c r="G47" s="13"/>
      <c r="H47" s="13"/>
      <c r="I47" s="13"/>
      <c r="J47" s="13"/>
    </row>
    <row r="48" spans="2:10" ht="15.75" customHeight="1" x14ac:dyDescent="0.2">
      <c r="B48" s="14" t="s">
        <v>66</v>
      </c>
      <c r="C48" s="15"/>
      <c r="D48" s="15"/>
      <c r="E48" s="15"/>
      <c r="F48" s="16"/>
      <c r="G48" s="16"/>
      <c r="H48" s="16"/>
      <c r="I48" s="16"/>
      <c r="J48" s="16"/>
    </row>
    <row r="49" spans="2:10" ht="15.75" customHeight="1" x14ac:dyDescent="0.2">
      <c r="B49" s="11" t="s">
        <v>67</v>
      </c>
      <c r="C49" s="12"/>
      <c r="D49" s="12"/>
      <c r="E49" s="12"/>
      <c r="F49" s="13"/>
      <c r="G49" s="13"/>
      <c r="H49" s="13"/>
      <c r="I49" s="13"/>
      <c r="J49" s="13"/>
    </row>
    <row r="50" spans="2:10" ht="15.75" customHeight="1" x14ac:dyDescent="0.2">
      <c r="B50" s="14" t="s">
        <v>68</v>
      </c>
      <c r="C50" s="15"/>
      <c r="D50" s="15"/>
      <c r="E50" s="15"/>
      <c r="F50" s="16"/>
      <c r="G50" s="16"/>
      <c r="H50" s="16"/>
      <c r="I50" s="16"/>
      <c r="J50" s="16"/>
    </row>
    <row r="51" spans="2:10" ht="15.75" customHeight="1" x14ac:dyDescent="0.2">
      <c r="B51" s="11" t="s">
        <v>69</v>
      </c>
      <c r="C51" s="12"/>
      <c r="D51" s="12"/>
      <c r="E51" s="12"/>
      <c r="F51" s="13"/>
      <c r="G51" s="13"/>
      <c r="H51" s="13"/>
      <c r="I51" s="13"/>
      <c r="J51" s="13"/>
    </row>
    <row r="52" spans="2:10" ht="15.75" customHeight="1" x14ac:dyDescent="0.2">
      <c r="B52" s="14" t="s">
        <v>70</v>
      </c>
      <c r="C52" s="15"/>
      <c r="D52" s="15"/>
      <c r="E52" s="15"/>
      <c r="F52" s="16"/>
      <c r="G52" s="16"/>
      <c r="H52" s="16"/>
      <c r="I52" s="16"/>
      <c r="J52" s="16"/>
    </row>
    <row r="53" spans="2:10" ht="15.75" customHeight="1" x14ac:dyDescent="0.2">
      <c r="B53" s="11" t="s">
        <v>71</v>
      </c>
      <c r="C53" s="12"/>
      <c r="D53" s="12"/>
      <c r="E53" s="12"/>
      <c r="F53" s="13"/>
      <c r="G53" s="13"/>
      <c r="H53" s="13"/>
      <c r="I53" s="13"/>
      <c r="J53" s="13"/>
    </row>
  </sheetData>
  <mergeCells count="5">
    <mergeCell ref="B44:J44"/>
    <mergeCell ref="B4:J4"/>
    <mergeCell ref="B18:J18"/>
    <mergeCell ref="B30:J30"/>
    <mergeCell ref="B1:I1"/>
  </mergeCells>
  <hyperlinks>
    <hyperlink ref="J1" location="Cover!A1" display="BACK --&gt;" xr:uid="{8024B442-8DC7-4DB5-946F-35DC25D14966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B1:K42"/>
  <sheetViews>
    <sheetView showGridLines="0" zoomScaleNormal="100" workbookViewId="0">
      <pane xSplit="2" ySplit="3" topLeftCell="C13" activePane="bottomRight" state="frozen"/>
      <selection pane="topRight" activeCell="C1" sqref="C1"/>
      <selection pane="bottomLeft" activeCell="A5" sqref="A5"/>
      <selection pane="bottomRight" activeCell="K29" sqref="K29"/>
    </sheetView>
  </sheetViews>
  <sheetFormatPr defaultColWidth="8.7109375" defaultRowHeight="14.25" x14ac:dyDescent="0.2"/>
  <cols>
    <col min="1" max="1" width="3" style="7" customWidth="1"/>
    <col min="2" max="2" width="38" style="7" customWidth="1"/>
    <col min="3" max="10" width="13" style="7" customWidth="1"/>
    <col min="11" max="11" width="22" style="7" customWidth="1"/>
    <col min="12" max="16384" width="8.7109375" style="7"/>
  </cols>
  <sheetData>
    <row r="1" spans="2:11" ht="31.5" customHeight="1" x14ac:dyDescent="0.2">
      <c r="B1" s="23" t="s">
        <v>72</v>
      </c>
      <c r="C1" s="23"/>
      <c r="D1" s="23"/>
      <c r="E1" s="23"/>
      <c r="F1" s="23"/>
      <c r="G1" s="23"/>
      <c r="H1" s="23"/>
      <c r="I1" s="23"/>
      <c r="J1" s="62" t="s">
        <v>219</v>
      </c>
    </row>
    <row r="2" spans="2:11" ht="15.75" customHeight="1" x14ac:dyDescent="0.2"/>
    <row r="3" spans="2:11" ht="19.5" customHeight="1" x14ac:dyDescent="0.2">
      <c r="B3" s="8" t="s">
        <v>73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24"/>
    </row>
    <row r="4" spans="2:11" ht="15.75" customHeight="1" x14ac:dyDescent="0.2">
      <c r="B4" s="10" t="s">
        <v>74</v>
      </c>
      <c r="C4" s="10"/>
      <c r="D4" s="10"/>
      <c r="E4" s="10"/>
      <c r="F4" s="10"/>
      <c r="G4" s="10"/>
      <c r="H4" s="10"/>
      <c r="I4" s="10"/>
      <c r="J4" s="10"/>
    </row>
    <row r="5" spans="2:11" ht="15.75" customHeight="1" x14ac:dyDescent="0.2">
      <c r="B5" s="25" t="s">
        <v>75</v>
      </c>
      <c r="C5" s="26"/>
      <c r="D5" s="26"/>
      <c r="E5" s="26"/>
      <c r="F5" s="26"/>
      <c r="G5" s="26"/>
      <c r="H5" s="26"/>
      <c r="I5" s="26"/>
      <c r="J5" s="26"/>
      <c r="K5" s="27"/>
    </row>
    <row r="6" spans="2:11" ht="15.75" customHeight="1" x14ac:dyDescent="0.2">
      <c r="B6" s="14" t="s">
        <v>224</v>
      </c>
      <c r="C6" s="15"/>
      <c r="D6" s="15"/>
      <c r="E6" s="15"/>
      <c r="F6" s="15"/>
      <c r="G6" s="15"/>
      <c r="H6" s="15"/>
      <c r="I6" s="15"/>
      <c r="J6" s="15"/>
      <c r="K6" s="27"/>
    </row>
    <row r="7" spans="2:11" ht="15.75" customHeight="1" x14ac:dyDescent="0.2">
      <c r="B7" s="25" t="s">
        <v>225</v>
      </c>
      <c r="C7" s="13"/>
      <c r="D7" s="13"/>
      <c r="E7" s="13"/>
      <c r="F7" s="13"/>
      <c r="G7" s="13"/>
      <c r="H7" s="13"/>
      <c r="I7" s="13"/>
      <c r="J7" s="13"/>
    </row>
    <row r="8" spans="2:11" ht="15.75" customHeight="1" x14ac:dyDescent="0.2">
      <c r="B8" s="14" t="s">
        <v>226</v>
      </c>
      <c r="C8" s="15"/>
      <c r="D8" s="15"/>
      <c r="E8" s="15"/>
      <c r="F8" s="15"/>
      <c r="G8" s="15"/>
      <c r="H8" s="15"/>
      <c r="I8" s="15"/>
      <c r="J8" s="15"/>
    </row>
    <row r="9" spans="2:11" ht="15.75" customHeight="1" x14ac:dyDescent="0.2"/>
    <row r="10" spans="2:11" ht="15.75" customHeight="1" x14ac:dyDescent="0.2">
      <c r="B10" s="10" t="s">
        <v>76</v>
      </c>
      <c r="C10" s="10"/>
      <c r="D10" s="10"/>
      <c r="E10" s="10"/>
      <c r="F10" s="10"/>
      <c r="G10" s="10"/>
      <c r="H10" s="10"/>
      <c r="I10" s="10"/>
      <c r="J10" s="10"/>
    </row>
    <row r="11" spans="2:11" ht="15.75" customHeight="1" x14ac:dyDescent="0.2">
      <c r="B11" s="25" t="s">
        <v>77</v>
      </c>
      <c r="C11" s="26"/>
      <c r="D11" s="26"/>
      <c r="E11" s="26"/>
      <c r="F11" s="26"/>
      <c r="G11" s="26"/>
      <c r="H11" s="26"/>
      <c r="I11" s="26"/>
      <c r="J11" s="26"/>
      <c r="K11" s="27"/>
    </row>
    <row r="12" spans="2:11" ht="15.75" customHeight="1" x14ac:dyDescent="0.2">
      <c r="B12" s="14" t="s">
        <v>78</v>
      </c>
      <c r="C12" s="17"/>
      <c r="D12" s="17"/>
      <c r="E12" s="17"/>
      <c r="F12" s="17"/>
      <c r="G12" s="17"/>
      <c r="H12" s="17"/>
      <c r="I12" s="17"/>
      <c r="J12" s="17"/>
      <c r="K12" s="27"/>
    </row>
    <row r="13" spans="2:11" ht="15.75" customHeight="1" x14ac:dyDescent="0.2">
      <c r="B13" s="25" t="s">
        <v>79</v>
      </c>
      <c r="C13" s="26"/>
      <c r="D13" s="26"/>
      <c r="E13" s="26"/>
      <c r="F13" s="26"/>
      <c r="G13" s="26"/>
      <c r="H13" s="26"/>
      <c r="I13" s="26"/>
      <c r="J13" s="26"/>
      <c r="K13" s="27"/>
    </row>
    <row r="14" spans="2:11" ht="15.75" customHeight="1" x14ac:dyDescent="0.2">
      <c r="B14" s="14" t="s">
        <v>80</v>
      </c>
      <c r="C14" s="17"/>
      <c r="D14" s="17"/>
      <c r="E14" s="17"/>
      <c r="F14" s="17"/>
      <c r="G14" s="17"/>
      <c r="H14" s="17"/>
      <c r="I14" s="17"/>
      <c r="J14" s="17"/>
      <c r="K14" s="27"/>
    </row>
    <row r="15" spans="2:11" ht="15.75" customHeight="1" x14ac:dyDescent="0.2">
      <c r="B15" s="25" t="s">
        <v>81</v>
      </c>
      <c r="C15" s="26"/>
      <c r="D15" s="26"/>
      <c r="E15" s="26"/>
      <c r="F15" s="26"/>
      <c r="G15" s="26"/>
      <c r="H15" s="26"/>
      <c r="I15" s="26"/>
      <c r="J15" s="26"/>
      <c r="K15" s="27"/>
    </row>
    <row r="16" spans="2:11" ht="15.75" customHeight="1" x14ac:dyDescent="0.2">
      <c r="B16" s="14" t="s">
        <v>82</v>
      </c>
      <c r="C16" s="17"/>
      <c r="D16" s="17"/>
      <c r="E16" s="17"/>
      <c r="F16" s="17"/>
      <c r="G16" s="17"/>
      <c r="H16" s="17"/>
      <c r="I16" s="17"/>
      <c r="J16" s="17"/>
      <c r="K16" s="27"/>
    </row>
    <row r="17" spans="2:11" ht="15.75" customHeight="1" x14ac:dyDescent="0.2"/>
    <row r="18" spans="2:11" ht="15.75" customHeight="1" x14ac:dyDescent="0.2">
      <c r="B18" s="10" t="s">
        <v>83</v>
      </c>
      <c r="C18" s="10"/>
      <c r="D18" s="10"/>
      <c r="E18" s="10"/>
      <c r="F18" s="10"/>
      <c r="G18" s="10"/>
      <c r="H18" s="10"/>
      <c r="I18" s="10"/>
      <c r="J18" s="10"/>
    </row>
    <row r="19" spans="2:11" ht="15.75" customHeight="1" x14ac:dyDescent="0.2">
      <c r="B19" s="25" t="s">
        <v>84</v>
      </c>
      <c r="C19" s="20"/>
      <c r="D19" s="20"/>
      <c r="E19" s="20"/>
      <c r="F19" s="20"/>
      <c r="G19" s="20"/>
      <c r="H19" s="20"/>
      <c r="I19" s="20"/>
      <c r="J19" s="20"/>
      <c r="K19" s="27"/>
    </row>
    <row r="20" spans="2:11" ht="15.75" customHeight="1" x14ac:dyDescent="0.2">
      <c r="B20" s="14" t="s">
        <v>85</v>
      </c>
      <c r="C20" s="21"/>
      <c r="D20" s="21"/>
      <c r="E20" s="21"/>
      <c r="F20" s="21"/>
      <c r="G20" s="21"/>
      <c r="H20" s="21"/>
      <c r="I20" s="21"/>
      <c r="J20" s="21"/>
      <c r="K20" s="27"/>
    </row>
    <row r="21" spans="2:11" ht="15.75" customHeight="1" x14ac:dyDescent="0.2">
      <c r="B21" s="25" t="s">
        <v>86</v>
      </c>
      <c r="C21" s="20"/>
      <c r="D21" s="20"/>
      <c r="E21" s="20"/>
      <c r="F21" s="20"/>
      <c r="G21" s="20"/>
      <c r="H21" s="20"/>
      <c r="I21" s="20"/>
      <c r="J21" s="20"/>
      <c r="K21" s="27"/>
    </row>
    <row r="22" spans="2:11" ht="15.75" customHeight="1" x14ac:dyDescent="0.2">
      <c r="B22" s="14" t="s">
        <v>87</v>
      </c>
      <c r="C22" s="21"/>
      <c r="D22" s="21"/>
      <c r="E22" s="21"/>
      <c r="F22" s="21"/>
      <c r="G22" s="21"/>
      <c r="H22" s="21"/>
      <c r="I22" s="21"/>
      <c r="J22" s="21"/>
      <c r="K22" s="27"/>
    </row>
    <row r="23" spans="2:11" ht="15.75" customHeight="1" x14ac:dyDescent="0.2"/>
    <row r="24" spans="2:11" ht="15.75" customHeight="1" x14ac:dyDescent="0.2">
      <c r="B24" s="10" t="s">
        <v>88</v>
      </c>
      <c r="C24" s="10"/>
      <c r="D24" s="10"/>
      <c r="E24" s="10"/>
      <c r="F24" s="10"/>
      <c r="G24" s="10"/>
      <c r="H24" s="10"/>
      <c r="I24" s="10"/>
      <c r="J24" s="10"/>
    </row>
    <row r="25" spans="2:11" ht="15.75" customHeight="1" x14ac:dyDescent="0.2">
      <c r="B25" s="25" t="s">
        <v>89</v>
      </c>
      <c r="C25" s="26"/>
      <c r="D25" s="26"/>
      <c r="E25" s="26"/>
      <c r="F25" s="26"/>
      <c r="G25" s="26"/>
      <c r="H25" s="26"/>
      <c r="I25" s="26"/>
      <c r="J25" s="26"/>
      <c r="K25" s="27"/>
    </row>
    <row r="26" spans="2:11" ht="15.75" customHeight="1" x14ac:dyDescent="0.2">
      <c r="B26" s="14" t="s">
        <v>90</v>
      </c>
      <c r="C26" s="17"/>
      <c r="D26" s="17"/>
      <c r="E26" s="17"/>
      <c r="F26" s="17"/>
      <c r="G26" s="17"/>
      <c r="H26" s="17"/>
      <c r="I26" s="17"/>
      <c r="J26" s="17"/>
      <c r="K26" s="27"/>
    </row>
    <row r="27" spans="2:11" ht="15.75" customHeight="1" x14ac:dyDescent="0.2">
      <c r="B27" s="25" t="s">
        <v>91</v>
      </c>
      <c r="C27" s="28"/>
      <c r="D27" s="28"/>
      <c r="E27" s="28"/>
      <c r="F27" s="28"/>
      <c r="G27" s="28"/>
      <c r="H27" s="28"/>
      <c r="I27" s="28"/>
      <c r="J27" s="28"/>
    </row>
    <row r="28" spans="2:11" ht="15.75" customHeight="1" x14ac:dyDescent="0.2"/>
    <row r="29" spans="2:11" ht="15.75" customHeight="1" x14ac:dyDescent="0.2">
      <c r="B29" s="10" t="s">
        <v>92</v>
      </c>
      <c r="C29" s="10"/>
      <c r="D29" s="10"/>
      <c r="E29" s="10"/>
      <c r="F29" s="10"/>
      <c r="G29" s="10"/>
      <c r="H29" s="10"/>
      <c r="I29" s="10"/>
      <c r="J29" s="10"/>
    </row>
    <row r="30" spans="2:11" ht="15.75" customHeight="1" x14ac:dyDescent="0.2">
      <c r="B30" s="14" t="s">
        <v>93</v>
      </c>
      <c r="C30" s="17"/>
      <c r="D30" s="17"/>
      <c r="E30" s="17"/>
      <c r="F30" s="17"/>
      <c r="G30" s="17"/>
      <c r="H30" s="17"/>
      <c r="I30" s="17"/>
      <c r="J30" s="17"/>
      <c r="K30" s="27"/>
    </row>
    <row r="31" spans="2:11" ht="15.75" customHeight="1" x14ac:dyDescent="0.2">
      <c r="B31" s="25" t="s">
        <v>94</v>
      </c>
      <c r="C31" s="26"/>
      <c r="D31" s="26"/>
      <c r="E31" s="26"/>
      <c r="F31" s="26"/>
      <c r="G31" s="26"/>
      <c r="H31" s="26"/>
      <c r="I31" s="26"/>
      <c r="J31" s="26"/>
    </row>
    <row r="32" spans="2:11" ht="15.75" customHeight="1" x14ac:dyDescent="0.2">
      <c r="B32" s="14" t="s">
        <v>95</v>
      </c>
      <c r="C32" s="17"/>
      <c r="D32" s="17"/>
      <c r="E32" s="17"/>
      <c r="F32" s="17"/>
      <c r="G32" s="17"/>
      <c r="H32" s="17"/>
      <c r="I32" s="17"/>
      <c r="J32" s="17"/>
    </row>
    <row r="33" spans="2:10" ht="15.75" customHeight="1" x14ac:dyDescent="0.2">
      <c r="B33" s="25" t="s">
        <v>96</v>
      </c>
      <c r="C33" s="29"/>
      <c r="D33" s="29"/>
      <c r="E33" s="29"/>
      <c r="F33" s="29"/>
      <c r="G33" s="29"/>
      <c r="H33" s="29"/>
      <c r="I33" s="29"/>
      <c r="J33" s="29"/>
    </row>
    <row r="34" spans="2:10" ht="15.75" customHeight="1" x14ac:dyDescent="0.2">
      <c r="B34" s="14" t="s">
        <v>97</v>
      </c>
      <c r="C34" s="17"/>
      <c r="D34" s="17"/>
      <c r="E34" s="17"/>
      <c r="F34" s="17"/>
      <c r="G34" s="17"/>
      <c r="H34" s="17"/>
      <c r="I34" s="17"/>
      <c r="J34" s="17"/>
    </row>
    <row r="35" spans="2:10" ht="15.75" customHeight="1" x14ac:dyDescent="0.2"/>
    <row r="36" spans="2:10" ht="15.75" customHeight="1" x14ac:dyDescent="0.2">
      <c r="B36" s="10" t="s">
        <v>98</v>
      </c>
      <c r="C36" s="10"/>
      <c r="D36" s="10"/>
      <c r="E36" s="10"/>
      <c r="F36" s="10"/>
      <c r="G36" s="10"/>
      <c r="H36" s="10"/>
      <c r="I36" s="10"/>
      <c r="J36" s="10"/>
    </row>
    <row r="37" spans="2:10" ht="15.75" customHeight="1" x14ac:dyDescent="0.2">
      <c r="B37" s="25" t="s">
        <v>99</v>
      </c>
      <c r="C37" s="29"/>
      <c r="D37" s="29"/>
      <c r="E37" s="29"/>
      <c r="F37" s="29"/>
      <c r="G37" s="29"/>
      <c r="H37" s="29"/>
      <c r="I37" s="29"/>
      <c r="J37" s="29"/>
    </row>
    <row r="38" spans="2:10" ht="15.75" customHeight="1" x14ac:dyDescent="0.2">
      <c r="B38" s="14" t="s">
        <v>100</v>
      </c>
      <c r="C38" s="30"/>
      <c r="D38" s="30"/>
      <c r="E38" s="30"/>
      <c r="F38" s="30"/>
      <c r="G38" s="30"/>
      <c r="H38" s="30"/>
      <c r="I38" s="30"/>
      <c r="J38" s="30"/>
    </row>
    <row r="39" spans="2:10" ht="15.75" customHeight="1" x14ac:dyDescent="0.2">
      <c r="B39" s="25" t="s">
        <v>101</v>
      </c>
      <c r="C39" s="29"/>
      <c r="D39" s="29"/>
      <c r="E39" s="29"/>
      <c r="F39" s="29"/>
      <c r="G39" s="29"/>
      <c r="H39" s="29"/>
      <c r="I39" s="29"/>
      <c r="J39" s="29"/>
    </row>
    <row r="40" spans="2:10" ht="15.75" customHeight="1" x14ac:dyDescent="0.2">
      <c r="B40" s="14" t="s">
        <v>102</v>
      </c>
      <c r="C40" s="30"/>
      <c r="D40" s="30"/>
      <c r="E40" s="30"/>
      <c r="F40" s="30"/>
      <c r="G40" s="30"/>
      <c r="H40" s="30"/>
      <c r="I40" s="30"/>
      <c r="J40" s="30"/>
    </row>
    <row r="41" spans="2:10" ht="15.75" customHeight="1" x14ac:dyDescent="0.2">
      <c r="B41" s="25" t="s">
        <v>103</v>
      </c>
      <c r="C41" s="26"/>
      <c r="D41" s="26"/>
      <c r="E41" s="26"/>
      <c r="F41" s="26"/>
      <c r="G41" s="26"/>
      <c r="H41" s="26"/>
      <c r="I41" s="26"/>
      <c r="J41" s="26"/>
    </row>
    <row r="42" spans="2:10" ht="15.75" customHeight="1" x14ac:dyDescent="0.2">
      <c r="B42" s="14" t="s">
        <v>104</v>
      </c>
      <c r="C42" s="17"/>
      <c r="D42" s="17"/>
      <c r="E42" s="17"/>
      <c r="F42" s="17"/>
      <c r="G42" s="17"/>
      <c r="H42" s="17"/>
      <c r="I42" s="17"/>
      <c r="J42" s="17"/>
    </row>
  </sheetData>
  <mergeCells count="7">
    <mergeCell ref="B24:J24"/>
    <mergeCell ref="B29:J29"/>
    <mergeCell ref="B36:J36"/>
    <mergeCell ref="B4:J4"/>
    <mergeCell ref="B10:J10"/>
    <mergeCell ref="B18:J18"/>
    <mergeCell ref="B1:I1"/>
  </mergeCells>
  <hyperlinks>
    <hyperlink ref="J1" location="Cover!A1" display="BACK --&gt;" xr:uid="{662A33A2-88C1-4BAD-BACD-483657469E73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5166"/>
  </sheetPr>
  <dimension ref="B1:J3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J1" sqref="J1"/>
    </sheetView>
  </sheetViews>
  <sheetFormatPr defaultColWidth="8.7109375" defaultRowHeight="14.25" x14ac:dyDescent="0.2"/>
  <cols>
    <col min="1" max="1" width="3" style="7" customWidth="1"/>
    <col min="2" max="2" width="36" style="7" customWidth="1"/>
    <col min="3" max="10" width="14" style="7" customWidth="1"/>
    <col min="11" max="16384" width="8.7109375" style="7"/>
  </cols>
  <sheetData>
    <row r="1" spans="2:10" ht="31.5" customHeight="1" x14ac:dyDescent="0.2">
      <c r="B1" s="6" t="s">
        <v>220</v>
      </c>
      <c r="C1" s="6"/>
      <c r="D1" s="6"/>
      <c r="E1" s="6"/>
      <c r="F1" s="6"/>
      <c r="G1" s="6"/>
      <c r="H1" s="6"/>
      <c r="I1" s="6"/>
      <c r="J1" s="63" t="s">
        <v>219</v>
      </c>
    </row>
    <row r="2" spans="2:10" ht="15.75" customHeight="1" x14ac:dyDescent="0.2"/>
    <row r="3" spans="2:10" ht="27.75" customHeight="1" x14ac:dyDescent="0.2">
      <c r="B3" s="31" t="s">
        <v>105</v>
      </c>
      <c r="C3" s="32" t="s">
        <v>106</v>
      </c>
      <c r="D3" s="32" t="s">
        <v>107</v>
      </c>
      <c r="E3" s="32" t="s">
        <v>108</v>
      </c>
      <c r="F3" s="33" t="s">
        <v>109</v>
      </c>
      <c r="G3" s="33" t="s">
        <v>110</v>
      </c>
      <c r="H3" s="33" t="s">
        <v>111</v>
      </c>
      <c r="I3" s="33" t="s">
        <v>112</v>
      </c>
      <c r="J3" s="33" t="s">
        <v>113</v>
      </c>
    </row>
    <row r="4" spans="2:10" ht="15.75" customHeight="1" x14ac:dyDescent="0.2">
      <c r="B4" s="34" t="s">
        <v>114</v>
      </c>
      <c r="C4" s="34"/>
      <c r="D4" s="34"/>
      <c r="E4" s="34"/>
      <c r="F4" s="34"/>
      <c r="G4" s="34"/>
      <c r="H4" s="34"/>
      <c r="I4" s="34"/>
      <c r="J4" s="34"/>
    </row>
    <row r="5" spans="2:10" ht="15.75" customHeight="1" x14ac:dyDescent="0.2">
      <c r="B5" s="35" t="s">
        <v>115</v>
      </c>
      <c r="C5" s="36">
        <f>IF(ISNUMBER(Inputs!C5),Inputs!C5,0)</f>
        <v>0</v>
      </c>
      <c r="D5" s="36">
        <f>IF(ISNUMBER(Inputs!D5),Inputs!D5,0)</f>
        <v>0</v>
      </c>
      <c r="E5" s="36">
        <f>IF(ISNUMBER(Inputs!E5),Inputs!E5,0)</f>
        <v>0</v>
      </c>
      <c r="F5" s="36">
        <f>IF(ISNUMBER(Inputs!F5),Inputs!F5,0)</f>
        <v>0</v>
      </c>
      <c r="G5" s="36">
        <f>IF(ISNUMBER(Inputs!G5),Inputs!G5,0)</f>
        <v>0</v>
      </c>
      <c r="H5" s="36">
        <f>IF(ISNUMBER(Inputs!H5),Inputs!H5,0)</f>
        <v>0</v>
      </c>
      <c r="I5" s="36">
        <f>IF(ISNUMBER(Inputs!I5),Inputs!I5,0)</f>
        <v>0</v>
      </c>
      <c r="J5" s="36">
        <f>IF(ISNUMBER(Inputs!J5),Inputs!J5,0)</f>
        <v>0</v>
      </c>
    </row>
    <row r="6" spans="2:10" ht="15.75" customHeight="1" x14ac:dyDescent="0.2">
      <c r="B6" s="37" t="s">
        <v>116</v>
      </c>
      <c r="C6" s="38" t="s">
        <v>117</v>
      </c>
      <c r="D6" s="38" t="str">
        <f t="shared" ref="D6:J6" si="0">IFERROR((D5-C5)/C5,"-")</f>
        <v>-</v>
      </c>
      <c r="E6" s="38" t="str">
        <f t="shared" si="0"/>
        <v>-</v>
      </c>
      <c r="F6" s="38" t="str">
        <f t="shared" si="0"/>
        <v>-</v>
      </c>
      <c r="G6" s="38" t="str">
        <f t="shared" si="0"/>
        <v>-</v>
      </c>
      <c r="H6" s="38" t="str">
        <f t="shared" si="0"/>
        <v>-</v>
      </c>
      <c r="I6" s="38" t="str">
        <f t="shared" si="0"/>
        <v>-</v>
      </c>
      <c r="J6" s="38" t="str">
        <f t="shared" si="0"/>
        <v>-</v>
      </c>
    </row>
    <row r="7" spans="2:10" ht="15.75" customHeight="1" x14ac:dyDescent="0.2">
      <c r="B7" s="34" t="s">
        <v>118</v>
      </c>
      <c r="C7" s="34"/>
      <c r="D7" s="34"/>
      <c r="E7" s="34"/>
      <c r="F7" s="34"/>
      <c r="G7" s="34"/>
      <c r="H7" s="34"/>
      <c r="I7" s="34"/>
      <c r="J7" s="34"/>
    </row>
    <row r="8" spans="2:10" ht="15.75" customHeight="1" x14ac:dyDescent="0.2">
      <c r="B8" s="14" t="s">
        <v>119</v>
      </c>
      <c r="C8" s="36">
        <f>IF(ISNUMBER(Inputs!C6),Inputs!C6,0)</f>
        <v>0</v>
      </c>
      <c r="D8" s="36">
        <f>IF(ISNUMBER(Inputs!D6),Inputs!D6,0)</f>
        <v>0</v>
      </c>
      <c r="E8" s="36">
        <f>IF(ISNUMBER(Inputs!E6),Inputs!E6,0)</f>
        <v>0</v>
      </c>
      <c r="F8" s="36">
        <f>IF(ISNUMBER(Inputs!F6),Inputs!F6,0)</f>
        <v>0</v>
      </c>
      <c r="G8" s="36">
        <f>IF(ISNUMBER(Inputs!G6),Inputs!G6,0)</f>
        <v>0</v>
      </c>
      <c r="H8" s="36">
        <f>IF(ISNUMBER(Inputs!H6),Inputs!H6,0)</f>
        <v>0</v>
      </c>
      <c r="I8" s="36">
        <f>IF(ISNUMBER(Inputs!I6),Inputs!I6,0)</f>
        <v>0</v>
      </c>
      <c r="J8" s="36">
        <f>IF(ISNUMBER(Inputs!J6),Inputs!J6,0)</f>
        <v>0</v>
      </c>
    </row>
    <row r="9" spans="2:10" ht="18" customHeight="1" x14ac:dyDescent="0.2">
      <c r="B9" s="39" t="s">
        <v>120</v>
      </c>
      <c r="C9" s="40">
        <f t="shared" ref="C9:J9" si="1">C5-C8</f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40">
        <f t="shared" si="1"/>
        <v>0</v>
      </c>
      <c r="I9" s="40">
        <f t="shared" si="1"/>
        <v>0</v>
      </c>
      <c r="J9" s="40">
        <f t="shared" si="1"/>
        <v>0</v>
      </c>
    </row>
    <row r="10" spans="2:10" ht="15.75" customHeight="1" x14ac:dyDescent="0.2">
      <c r="B10" s="37" t="s">
        <v>121</v>
      </c>
      <c r="C10" s="38" t="str">
        <f t="shared" ref="C10:J10" si="2">IFERROR(C9/C5,"-")</f>
        <v>-</v>
      </c>
      <c r="D10" s="38" t="str">
        <f t="shared" si="2"/>
        <v>-</v>
      </c>
      <c r="E10" s="38" t="str">
        <f t="shared" si="2"/>
        <v>-</v>
      </c>
      <c r="F10" s="38" t="str">
        <f t="shared" si="2"/>
        <v>-</v>
      </c>
      <c r="G10" s="38" t="str">
        <f t="shared" si="2"/>
        <v>-</v>
      </c>
      <c r="H10" s="38" t="str">
        <f t="shared" si="2"/>
        <v>-</v>
      </c>
      <c r="I10" s="38" t="str">
        <f t="shared" si="2"/>
        <v>-</v>
      </c>
      <c r="J10" s="38" t="str">
        <f t="shared" si="2"/>
        <v>-</v>
      </c>
    </row>
    <row r="11" spans="2:10" ht="15.75" customHeight="1" x14ac:dyDescent="0.2">
      <c r="B11" s="34" t="s">
        <v>122</v>
      </c>
      <c r="C11" s="34"/>
      <c r="D11" s="34"/>
      <c r="E11" s="34"/>
      <c r="F11" s="34"/>
      <c r="G11" s="34"/>
      <c r="H11" s="34"/>
      <c r="I11" s="34"/>
      <c r="J11" s="34"/>
    </row>
    <row r="12" spans="2:10" ht="15.75" customHeight="1" x14ac:dyDescent="0.2">
      <c r="B12" s="14" t="s">
        <v>123</v>
      </c>
      <c r="C12" s="36">
        <f>IF(ISNUMBER(Inputs!C7),Inputs!C7,0)</f>
        <v>0</v>
      </c>
      <c r="D12" s="36">
        <f>IF(ISNUMBER(Inputs!D7),Inputs!D7,0)</f>
        <v>0</v>
      </c>
      <c r="E12" s="36">
        <f>IF(ISNUMBER(Inputs!E7),Inputs!E7,0)</f>
        <v>0</v>
      </c>
      <c r="F12" s="36">
        <f>IF(ISNUMBER(Inputs!F7),Inputs!F7,0)</f>
        <v>0</v>
      </c>
      <c r="G12" s="36">
        <f>IF(ISNUMBER(Inputs!G7),Inputs!G7,0)</f>
        <v>0</v>
      </c>
      <c r="H12" s="36">
        <f>IF(ISNUMBER(Inputs!H7),Inputs!H7,0)</f>
        <v>0</v>
      </c>
      <c r="I12" s="36">
        <f>IF(ISNUMBER(Inputs!I7),Inputs!I7,0)</f>
        <v>0</v>
      </c>
      <c r="J12" s="36">
        <f>IF(ISNUMBER(Inputs!J7),Inputs!J7,0)</f>
        <v>0</v>
      </c>
    </row>
    <row r="13" spans="2:10" ht="15.75" customHeight="1" x14ac:dyDescent="0.2">
      <c r="B13" s="14" t="s">
        <v>124</v>
      </c>
      <c r="C13" s="36">
        <f>IF(ISNUMBER(Inputs!C8),Inputs!C8,0)</f>
        <v>0</v>
      </c>
      <c r="D13" s="36">
        <f>IF(ISNUMBER(Inputs!D8),Inputs!D8,0)</f>
        <v>0</v>
      </c>
      <c r="E13" s="36">
        <f>IF(ISNUMBER(Inputs!E8),Inputs!E8,0)</f>
        <v>0</v>
      </c>
      <c r="F13" s="36">
        <f>IF(ISNUMBER(Inputs!F8),Inputs!F8,0)</f>
        <v>0</v>
      </c>
      <c r="G13" s="36">
        <f>IF(ISNUMBER(Inputs!G8),Inputs!G8,0)</f>
        <v>0</v>
      </c>
      <c r="H13" s="36">
        <f>IF(ISNUMBER(Inputs!H8),Inputs!H8,0)</f>
        <v>0</v>
      </c>
      <c r="I13" s="36">
        <f>IF(ISNUMBER(Inputs!I8),Inputs!I8,0)</f>
        <v>0</v>
      </c>
      <c r="J13" s="36">
        <f>IF(ISNUMBER(Inputs!J8),Inputs!J8,0)</f>
        <v>0</v>
      </c>
    </row>
    <row r="14" spans="2:10" ht="15.75" customHeight="1" x14ac:dyDescent="0.2">
      <c r="B14" s="14" t="s">
        <v>30</v>
      </c>
      <c r="C14" s="36">
        <f>IF(ISNUMBER(Inputs!C9),Inputs!C9,0)</f>
        <v>0</v>
      </c>
      <c r="D14" s="36">
        <f>IF(ISNUMBER(Inputs!D9),Inputs!D9,0)</f>
        <v>0</v>
      </c>
      <c r="E14" s="36">
        <f>IF(ISNUMBER(Inputs!E9),Inputs!E9,0)</f>
        <v>0</v>
      </c>
      <c r="F14" s="36">
        <f>IF(ISNUMBER(Inputs!F9),Inputs!F9,0)</f>
        <v>0</v>
      </c>
      <c r="G14" s="36">
        <f>IF(ISNUMBER(Inputs!G9),Inputs!G9,0)</f>
        <v>0</v>
      </c>
      <c r="H14" s="36">
        <f>IF(ISNUMBER(Inputs!H9),Inputs!H9,0)</f>
        <v>0</v>
      </c>
      <c r="I14" s="36">
        <f>IF(ISNUMBER(Inputs!I9),Inputs!I9,0)</f>
        <v>0</v>
      </c>
      <c r="J14" s="36">
        <f>IF(ISNUMBER(Inputs!J9),Inputs!J9,0)</f>
        <v>0</v>
      </c>
    </row>
    <row r="15" spans="2:10" ht="15.75" customHeight="1" x14ac:dyDescent="0.2">
      <c r="B15" s="14" t="s">
        <v>31</v>
      </c>
      <c r="C15" s="36">
        <f>IF(ISNUMBER(Inputs!C10),Inputs!C10,0)</f>
        <v>0</v>
      </c>
      <c r="D15" s="36">
        <f>IF(ISNUMBER(Inputs!D10),Inputs!D10,0)</f>
        <v>0</v>
      </c>
      <c r="E15" s="36">
        <f>IF(ISNUMBER(Inputs!E10),Inputs!E10,0)</f>
        <v>0</v>
      </c>
      <c r="F15" s="36">
        <f>IF(ISNUMBER(Inputs!F10),Inputs!F10,0)</f>
        <v>0</v>
      </c>
      <c r="G15" s="36">
        <f>IF(ISNUMBER(Inputs!G10),Inputs!G10,0)</f>
        <v>0</v>
      </c>
      <c r="H15" s="36">
        <f>IF(ISNUMBER(Inputs!H10),Inputs!H10,0)</f>
        <v>0</v>
      </c>
      <c r="I15" s="36">
        <f>IF(ISNUMBER(Inputs!I10),Inputs!I10,0)</f>
        <v>0</v>
      </c>
      <c r="J15" s="36">
        <f>IF(ISNUMBER(Inputs!J10),Inputs!J10,0)</f>
        <v>0</v>
      </c>
    </row>
    <row r="16" spans="2:10" ht="15.75" customHeight="1" x14ac:dyDescent="0.2">
      <c r="B16" s="39" t="s">
        <v>125</v>
      </c>
      <c r="C16" s="40">
        <f t="shared" ref="C16:J16" si="3">C12+C13-C14+C15</f>
        <v>0</v>
      </c>
      <c r="D16" s="40">
        <f t="shared" si="3"/>
        <v>0</v>
      </c>
      <c r="E16" s="40">
        <f t="shared" si="3"/>
        <v>0</v>
      </c>
      <c r="F16" s="40">
        <f t="shared" si="3"/>
        <v>0</v>
      </c>
      <c r="G16" s="40">
        <f t="shared" si="3"/>
        <v>0</v>
      </c>
      <c r="H16" s="40">
        <f t="shared" si="3"/>
        <v>0</v>
      </c>
      <c r="I16" s="40">
        <f t="shared" si="3"/>
        <v>0</v>
      </c>
      <c r="J16" s="40">
        <f t="shared" si="3"/>
        <v>0</v>
      </c>
    </row>
    <row r="17" spans="2:10" ht="18" customHeight="1" x14ac:dyDescent="0.2">
      <c r="B17" s="39" t="s">
        <v>126</v>
      </c>
      <c r="C17" s="40">
        <f t="shared" ref="C17:J17" si="4">C9-C16</f>
        <v>0</v>
      </c>
      <c r="D17" s="40">
        <f t="shared" si="4"/>
        <v>0</v>
      </c>
      <c r="E17" s="40">
        <f t="shared" si="4"/>
        <v>0</v>
      </c>
      <c r="F17" s="40">
        <f t="shared" si="4"/>
        <v>0</v>
      </c>
      <c r="G17" s="40">
        <f t="shared" si="4"/>
        <v>0</v>
      </c>
      <c r="H17" s="40">
        <f t="shared" si="4"/>
        <v>0</v>
      </c>
      <c r="I17" s="40">
        <f t="shared" si="4"/>
        <v>0</v>
      </c>
      <c r="J17" s="40">
        <f t="shared" si="4"/>
        <v>0</v>
      </c>
    </row>
    <row r="18" spans="2:10" ht="15.75" customHeight="1" x14ac:dyDescent="0.2">
      <c r="B18" s="37" t="s">
        <v>127</v>
      </c>
      <c r="C18" s="38" t="str">
        <f t="shared" ref="C18:J18" si="5">IFERROR(C17/C5,"-")</f>
        <v>-</v>
      </c>
      <c r="D18" s="38" t="str">
        <f t="shared" si="5"/>
        <v>-</v>
      </c>
      <c r="E18" s="38" t="str">
        <f t="shared" si="5"/>
        <v>-</v>
      </c>
      <c r="F18" s="38" t="str">
        <f t="shared" si="5"/>
        <v>-</v>
      </c>
      <c r="G18" s="38" t="str">
        <f t="shared" si="5"/>
        <v>-</v>
      </c>
      <c r="H18" s="38" t="str">
        <f t="shared" si="5"/>
        <v>-</v>
      </c>
      <c r="I18" s="38" t="str">
        <f t="shared" si="5"/>
        <v>-</v>
      </c>
      <c r="J18" s="38" t="str">
        <f t="shared" si="5"/>
        <v>-</v>
      </c>
    </row>
    <row r="19" spans="2:10" ht="18" customHeight="1" x14ac:dyDescent="0.2">
      <c r="B19" s="41" t="s">
        <v>128</v>
      </c>
      <c r="C19" s="42">
        <f t="shared" ref="C19:J19" si="6">C17+C15</f>
        <v>0</v>
      </c>
      <c r="D19" s="42">
        <f t="shared" si="6"/>
        <v>0</v>
      </c>
      <c r="E19" s="42">
        <f t="shared" si="6"/>
        <v>0</v>
      </c>
      <c r="F19" s="42">
        <f t="shared" si="6"/>
        <v>0</v>
      </c>
      <c r="G19" s="42">
        <f t="shared" si="6"/>
        <v>0</v>
      </c>
      <c r="H19" s="42">
        <f t="shared" si="6"/>
        <v>0</v>
      </c>
      <c r="I19" s="42">
        <f t="shared" si="6"/>
        <v>0</v>
      </c>
      <c r="J19" s="42">
        <f t="shared" si="6"/>
        <v>0</v>
      </c>
    </row>
    <row r="20" spans="2:10" ht="15.75" customHeight="1" x14ac:dyDescent="0.2">
      <c r="B20" s="37" t="s">
        <v>129</v>
      </c>
      <c r="C20" s="38" t="str">
        <f t="shared" ref="C20:J20" si="7">IFERROR(C19/C5,"-")</f>
        <v>-</v>
      </c>
      <c r="D20" s="38" t="str">
        <f t="shared" si="7"/>
        <v>-</v>
      </c>
      <c r="E20" s="38" t="str">
        <f t="shared" si="7"/>
        <v>-</v>
      </c>
      <c r="F20" s="38" t="str">
        <f t="shared" si="7"/>
        <v>-</v>
      </c>
      <c r="G20" s="38" t="str">
        <f t="shared" si="7"/>
        <v>-</v>
      </c>
      <c r="H20" s="38" t="str">
        <f t="shared" si="7"/>
        <v>-</v>
      </c>
      <c r="I20" s="38" t="str">
        <f t="shared" si="7"/>
        <v>-</v>
      </c>
      <c r="J20" s="38" t="str">
        <f t="shared" si="7"/>
        <v>-</v>
      </c>
    </row>
    <row r="21" spans="2:10" ht="15.75" customHeight="1" x14ac:dyDescent="0.2">
      <c r="B21" s="34" t="s">
        <v>130</v>
      </c>
      <c r="C21" s="34"/>
      <c r="D21" s="34"/>
      <c r="E21" s="34"/>
      <c r="F21" s="34"/>
      <c r="G21" s="34"/>
      <c r="H21" s="34"/>
      <c r="I21" s="34"/>
      <c r="J21" s="34"/>
    </row>
    <row r="22" spans="2:10" ht="15.75" customHeight="1" x14ac:dyDescent="0.2">
      <c r="B22" s="14" t="s">
        <v>32</v>
      </c>
      <c r="C22" s="36">
        <f>IF(ISNUMBER(Inputs!C11),Inputs!C11,0)</f>
        <v>0</v>
      </c>
      <c r="D22" s="36">
        <f>IF(ISNUMBER(Inputs!D11),Inputs!D11,0)</f>
        <v>0</v>
      </c>
      <c r="E22" s="36">
        <f>IF(ISNUMBER(Inputs!E11),Inputs!E11,0)</f>
        <v>0</v>
      </c>
      <c r="F22" s="36">
        <f>IF(ISNUMBER(Inputs!F11),Inputs!F11,0)</f>
        <v>0</v>
      </c>
      <c r="G22" s="36">
        <f>IF(ISNUMBER(Inputs!G11),Inputs!G11,0)</f>
        <v>0</v>
      </c>
      <c r="H22" s="36">
        <f>IF(ISNUMBER(Inputs!H11),Inputs!H11,0)</f>
        <v>0</v>
      </c>
      <c r="I22" s="36">
        <f>IF(ISNUMBER(Inputs!I11),Inputs!I11,0)</f>
        <v>0</v>
      </c>
      <c r="J22" s="36">
        <f>IF(ISNUMBER(Inputs!J11),Inputs!J11,0)</f>
        <v>0</v>
      </c>
    </row>
    <row r="23" spans="2:10" ht="15.75" customHeight="1" x14ac:dyDescent="0.2">
      <c r="B23" s="14" t="s">
        <v>33</v>
      </c>
      <c r="C23" s="36">
        <f>IF(ISNUMBER(Inputs!C12),Inputs!C12,0)</f>
        <v>0</v>
      </c>
      <c r="D23" s="36">
        <f>IF(ISNUMBER(Inputs!D12),Inputs!D12,0)</f>
        <v>0</v>
      </c>
      <c r="E23" s="36">
        <f>IF(ISNUMBER(Inputs!E12),Inputs!E12,0)</f>
        <v>0</v>
      </c>
      <c r="F23" s="36">
        <f>IF(ISNUMBER(Inputs!F12),Inputs!F12,0)</f>
        <v>0</v>
      </c>
      <c r="G23" s="36">
        <f>IF(ISNUMBER(Inputs!G12),Inputs!G12,0)</f>
        <v>0</v>
      </c>
      <c r="H23" s="36">
        <f>IF(ISNUMBER(Inputs!H12),Inputs!H12,0)</f>
        <v>0</v>
      </c>
      <c r="I23" s="36">
        <f>IF(ISNUMBER(Inputs!I12),Inputs!I12,0)</f>
        <v>0</v>
      </c>
      <c r="J23" s="36">
        <f>IF(ISNUMBER(Inputs!J12),Inputs!J12,0)</f>
        <v>0</v>
      </c>
    </row>
    <row r="24" spans="2:10" ht="15.75" customHeight="1" x14ac:dyDescent="0.2">
      <c r="B24" s="14" t="s">
        <v>34</v>
      </c>
      <c r="C24" s="36">
        <f>IF(ISNUMBER(Inputs!C13),Inputs!C13,0)</f>
        <v>0</v>
      </c>
      <c r="D24" s="36">
        <f>IF(ISNUMBER(Inputs!D13),Inputs!D13,0)</f>
        <v>0</v>
      </c>
      <c r="E24" s="36">
        <f>IF(ISNUMBER(Inputs!E13),Inputs!E13,0)</f>
        <v>0</v>
      </c>
      <c r="F24" s="36">
        <f>IF(ISNUMBER(Inputs!F13),Inputs!F13,0)</f>
        <v>0</v>
      </c>
      <c r="G24" s="36">
        <f>IF(ISNUMBER(Inputs!G13),Inputs!G13,0)</f>
        <v>0</v>
      </c>
      <c r="H24" s="36">
        <f>IF(ISNUMBER(Inputs!H13),Inputs!H13,0)</f>
        <v>0</v>
      </c>
      <c r="I24" s="36">
        <f>IF(ISNUMBER(Inputs!I13),Inputs!I13,0)</f>
        <v>0</v>
      </c>
      <c r="J24" s="36">
        <f>IF(ISNUMBER(Inputs!J13),Inputs!J13,0)</f>
        <v>0</v>
      </c>
    </row>
    <row r="25" spans="2:10" ht="18" customHeight="1" x14ac:dyDescent="0.2">
      <c r="B25" s="39" t="s">
        <v>131</v>
      </c>
      <c r="C25" s="40">
        <f t="shared" ref="C25:J25" si="8">C17-C22+C23+C24</f>
        <v>0</v>
      </c>
      <c r="D25" s="40">
        <f t="shared" si="8"/>
        <v>0</v>
      </c>
      <c r="E25" s="40">
        <f t="shared" si="8"/>
        <v>0</v>
      </c>
      <c r="F25" s="40">
        <f t="shared" si="8"/>
        <v>0</v>
      </c>
      <c r="G25" s="40">
        <f t="shared" si="8"/>
        <v>0</v>
      </c>
      <c r="H25" s="40">
        <f t="shared" si="8"/>
        <v>0</v>
      </c>
      <c r="I25" s="40">
        <f t="shared" si="8"/>
        <v>0</v>
      </c>
      <c r="J25" s="40">
        <f t="shared" si="8"/>
        <v>0</v>
      </c>
    </row>
    <row r="26" spans="2:10" ht="15.75" customHeight="1" x14ac:dyDescent="0.2">
      <c r="B26" s="14" t="s">
        <v>132</v>
      </c>
      <c r="C26" s="36">
        <f>C25*IF(ISNUMBER(Inputs!C14),Inputs!C14,0)</f>
        <v>0</v>
      </c>
      <c r="D26" s="36">
        <f>D25*IF(ISNUMBER(Inputs!D14),Inputs!D14,0)</f>
        <v>0</v>
      </c>
      <c r="E26" s="36">
        <f>E25*IF(ISNUMBER(Inputs!E14),Inputs!E14,0)</f>
        <v>0</v>
      </c>
      <c r="F26" s="36">
        <f>F25*IF(ISNUMBER(Inputs!F14),Inputs!F14,0)</f>
        <v>0</v>
      </c>
      <c r="G26" s="36">
        <f>G25*IF(ISNUMBER(Inputs!G14),Inputs!G14,0)</f>
        <v>0</v>
      </c>
      <c r="H26" s="36">
        <f>H25*IF(ISNUMBER(Inputs!H14),Inputs!H14,0)</f>
        <v>0</v>
      </c>
      <c r="I26" s="36">
        <f>I25*IF(ISNUMBER(Inputs!I14),Inputs!I14,0)</f>
        <v>0</v>
      </c>
      <c r="J26" s="36">
        <f>J25*IF(ISNUMBER(Inputs!J14),Inputs!J14,0)</f>
        <v>0</v>
      </c>
    </row>
    <row r="27" spans="2:10" ht="19.5" customHeight="1" x14ac:dyDescent="0.2">
      <c r="B27" s="39" t="s">
        <v>133</v>
      </c>
      <c r="C27" s="40">
        <f t="shared" ref="C27:J27" si="9">C25-C26</f>
        <v>0</v>
      </c>
      <c r="D27" s="40">
        <f t="shared" si="9"/>
        <v>0</v>
      </c>
      <c r="E27" s="40">
        <f t="shared" si="9"/>
        <v>0</v>
      </c>
      <c r="F27" s="40">
        <f t="shared" si="9"/>
        <v>0</v>
      </c>
      <c r="G27" s="40">
        <f t="shared" si="9"/>
        <v>0</v>
      </c>
      <c r="H27" s="40">
        <f t="shared" si="9"/>
        <v>0</v>
      </c>
      <c r="I27" s="40">
        <f t="shared" si="9"/>
        <v>0</v>
      </c>
      <c r="J27" s="40">
        <f t="shared" si="9"/>
        <v>0</v>
      </c>
    </row>
    <row r="28" spans="2:10" ht="15.75" customHeight="1" x14ac:dyDescent="0.2">
      <c r="B28" s="37" t="s">
        <v>134</v>
      </c>
      <c r="C28" s="38" t="str">
        <f t="shared" ref="C28:J28" si="10">IFERROR(C27/C5,"-")</f>
        <v>-</v>
      </c>
      <c r="D28" s="38" t="str">
        <f t="shared" si="10"/>
        <v>-</v>
      </c>
      <c r="E28" s="38" t="str">
        <f t="shared" si="10"/>
        <v>-</v>
      </c>
      <c r="F28" s="38" t="str">
        <f t="shared" si="10"/>
        <v>-</v>
      </c>
      <c r="G28" s="38" t="str">
        <f t="shared" si="10"/>
        <v>-</v>
      </c>
      <c r="H28" s="38" t="str">
        <f t="shared" si="10"/>
        <v>-</v>
      </c>
      <c r="I28" s="38" t="str">
        <f t="shared" si="10"/>
        <v>-</v>
      </c>
      <c r="J28" s="38" t="str">
        <f t="shared" si="10"/>
        <v>-</v>
      </c>
    </row>
    <row r="29" spans="2:10" ht="15.75" customHeight="1" x14ac:dyDescent="0.2"/>
    <row r="30" spans="2:10" ht="15.75" customHeight="1" x14ac:dyDescent="0.2">
      <c r="B30" s="43" t="s">
        <v>135</v>
      </c>
      <c r="C30" s="43"/>
      <c r="D30" s="43"/>
      <c r="E30" s="43"/>
      <c r="F30" s="43"/>
      <c r="G30" s="43"/>
      <c r="H30" s="43"/>
      <c r="I30" s="43"/>
      <c r="J30" s="43"/>
    </row>
    <row r="31" spans="2:10" ht="15.75" customHeight="1" x14ac:dyDescent="0.2">
      <c r="B31" s="14" t="s">
        <v>136</v>
      </c>
      <c r="C31" s="44" t="str">
        <f>IFERROR(C27/Inputs!C15,"-")</f>
        <v>-</v>
      </c>
      <c r="D31" s="44" t="str">
        <f>IFERROR(D27/Inputs!D15,"-")</f>
        <v>-</v>
      </c>
      <c r="E31" s="44" t="str">
        <f>IFERROR(E27/Inputs!E15,"-")</f>
        <v>-</v>
      </c>
      <c r="F31" s="44" t="str">
        <f>IFERROR(F27/Inputs!F15,"-")</f>
        <v>-</v>
      </c>
      <c r="G31" s="44" t="str">
        <f>IFERROR(G27/Inputs!G15,"-")</f>
        <v>-</v>
      </c>
      <c r="H31" s="44" t="str">
        <f>IFERROR(H27/Inputs!H15,"-")</f>
        <v>-</v>
      </c>
      <c r="I31" s="44" t="str">
        <f>IFERROR(I27/Inputs!I15,"-")</f>
        <v>-</v>
      </c>
      <c r="J31" s="44" t="str">
        <f>IFERROR(J27/Inputs!J15,"-")</f>
        <v>-</v>
      </c>
    </row>
    <row r="32" spans="2:10" ht="15.75" customHeight="1" x14ac:dyDescent="0.2">
      <c r="B32" s="14" t="s">
        <v>137</v>
      </c>
      <c r="C32" s="44" t="str">
        <f>IFERROR(C27/Inputs!C16,"-")</f>
        <v>-</v>
      </c>
      <c r="D32" s="44" t="str">
        <f>IFERROR(D27/Inputs!D16,"-")</f>
        <v>-</v>
      </c>
      <c r="E32" s="44" t="str">
        <f>IFERROR(E27/Inputs!E16,"-")</f>
        <v>-</v>
      </c>
      <c r="F32" s="44" t="str">
        <f>IFERROR(F27/Inputs!F16,"-")</f>
        <v>-</v>
      </c>
      <c r="G32" s="44" t="str">
        <f>IFERROR(G27/Inputs!G16,"-")</f>
        <v>-</v>
      </c>
      <c r="H32" s="44" t="str">
        <f>IFERROR(H27/Inputs!H16,"-")</f>
        <v>-</v>
      </c>
      <c r="I32" s="44" t="str">
        <f>IFERROR(I27/Inputs!I16,"-")</f>
        <v>-</v>
      </c>
      <c r="J32" s="44" t="str">
        <f>IFERROR(J27/Inputs!J16,"-")</f>
        <v>-</v>
      </c>
    </row>
  </sheetData>
  <mergeCells count="6">
    <mergeCell ref="B21:J21"/>
    <mergeCell ref="B30:J30"/>
    <mergeCell ref="B4:J4"/>
    <mergeCell ref="B7:J7"/>
    <mergeCell ref="B11:J11"/>
    <mergeCell ref="B1:I1"/>
  </mergeCells>
  <hyperlinks>
    <hyperlink ref="J1" location="Cover!A1" display="BACK --&gt;" xr:uid="{83760153-8D9E-4097-842A-6145AD353827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B1:J46"/>
  <sheetViews>
    <sheetView showGridLines="0" zoomScaleNormal="100" workbookViewId="0">
      <pane xSplit="2" ySplit="3" topLeftCell="C20" activePane="bottomRight" state="frozen"/>
      <selection pane="topRight" activeCell="C1" sqref="C1"/>
      <selection pane="bottomLeft" activeCell="A5" sqref="A5"/>
      <selection pane="bottomRight" activeCell="J1" sqref="J1"/>
    </sheetView>
  </sheetViews>
  <sheetFormatPr defaultColWidth="8.7109375" defaultRowHeight="14.25" x14ac:dyDescent="0.2"/>
  <cols>
    <col min="1" max="1" width="3" style="7" customWidth="1"/>
    <col min="2" max="2" width="38" style="7" customWidth="1"/>
    <col min="3" max="10" width="14" style="7" customWidth="1"/>
    <col min="11" max="16384" width="8.7109375" style="7"/>
  </cols>
  <sheetData>
    <row r="1" spans="2:10" ht="31.5" customHeight="1" x14ac:dyDescent="0.2">
      <c r="B1" s="6" t="s">
        <v>221</v>
      </c>
      <c r="C1" s="6"/>
      <c r="D1" s="6"/>
      <c r="E1" s="6"/>
      <c r="F1" s="6"/>
      <c r="G1" s="6"/>
      <c r="H1" s="6"/>
      <c r="I1" s="6"/>
      <c r="J1" s="63" t="s">
        <v>219</v>
      </c>
    </row>
    <row r="2" spans="2:10" ht="15.75" customHeight="1" x14ac:dyDescent="0.2"/>
    <row r="3" spans="2:10" ht="27.75" customHeight="1" x14ac:dyDescent="0.2">
      <c r="B3" s="31" t="s">
        <v>105</v>
      </c>
      <c r="C3" s="32" t="s">
        <v>106</v>
      </c>
      <c r="D3" s="32" t="s">
        <v>107</v>
      </c>
      <c r="E3" s="32" t="s">
        <v>108</v>
      </c>
      <c r="F3" s="33" t="s">
        <v>109</v>
      </c>
      <c r="G3" s="33" t="s">
        <v>110</v>
      </c>
      <c r="H3" s="33" t="s">
        <v>111</v>
      </c>
      <c r="I3" s="33" t="s">
        <v>112</v>
      </c>
      <c r="J3" s="33" t="s">
        <v>113</v>
      </c>
    </row>
    <row r="4" spans="2:10" ht="15.75" customHeight="1" x14ac:dyDescent="0.2">
      <c r="B4" s="34" t="s">
        <v>138</v>
      </c>
      <c r="C4" s="34"/>
      <c r="D4" s="34"/>
      <c r="E4" s="34"/>
      <c r="F4" s="34"/>
      <c r="G4" s="34"/>
      <c r="H4" s="34"/>
      <c r="I4" s="34"/>
      <c r="J4" s="34"/>
    </row>
    <row r="5" spans="2:10" ht="15.75" customHeight="1" x14ac:dyDescent="0.2">
      <c r="B5" s="34" t="s">
        <v>139</v>
      </c>
      <c r="C5" s="34"/>
      <c r="D5" s="34"/>
      <c r="E5" s="34"/>
      <c r="F5" s="34"/>
      <c r="G5" s="34"/>
      <c r="H5" s="34"/>
      <c r="I5" s="34"/>
      <c r="J5" s="34"/>
    </row>
    <row r="6" spans="2:10" ht="15.75" customHeight="1" x14ac:dyDescent="0.2">
      <c r="B6" s="14" t="s">
        <v>39</v>
      </c>
      <c r="C6" s="36">
        <f>IF(ISNUMBER(Inputs!C18),Inputs!C18,0)</f>
        <v>0</v>
      </c>
      <c r="D6" s="36">
        <f>IF(ISNUMBER(Inputs!D18),Inputs!D18,0)</f>
        <v>0</v>
      </c>
      <c r="E6" s="36">
        <f>IF(ISNUMBER(Inputs!E18),Inputs!E18,0)</f>
        <v>0</v>
      </c>
      <c r="F6" s="36">
        <f>IF(ISNUMBER(Inputs!F18),Inputs!F18,0)</f>
        <v>0</v>
      </c>
      <c r="G6" s="36">
        <f>IF(ISNUMBER(Inputs!G18),Inputs!G18,0)</f>
        <v>0</v>
      </c>
      <c r="H6" s="36">
        <f>IF(ISNUMBER(Inputs!H18),Inputs!H18,0)</f>
        <v>0</v>
      </c>
      <c r="I6" s="36">
        <f>IF(ISNUMBER(Inputs!I18),Inputs!I18,0)</f>
        <v>0</v>
      </c>
      <c r="J6" s="36">
        <f>IF(ISNUMBER(Inputs!J18),Inputs!J18,0)</f>
        <v>0</v>
      </c>
    </row>
    <row r="7" spans="2:10" ht="15.75" customHeight="1" x14ac:dyDescent="0.2">
      <c r="B7" s="45" t="s">
        <v>40</v>
      </c>
      <c r="C7" s="36">
        <f>IF(ISNUMBER(Inputs!C19),Inputs!C19,0)</f>
        <v>0</v>
      </c>
      <c r="D7" s="36">
        <f>IF(ISNUMBER(Inputs!D19),Inputs!D19,0)</f>
        <v>0</v>
      </c>
      <c r="E7" s="36">
        <f>IF(ISNUMBER(Inputs!E19),Inputs!E19,0)</f>
        <v>0</v>
      </c>
      <c r="F7" s="36">
        <f>IF(ISNUMBER(Inputs!F19),Inputs!F19,0)</f>
        <v>0</v>
      </c>
      <c r="G7" s="36">
        <f>IF(ISNUMBER(Inputs!G19),Inputs!G19,0)</f>
        <v>0</v>
      </c>
      <c r="H7" s="36">
        <f>IF(ISNUMBER(Inputs!H19),Inputs!H19,0)</f>
        <v>0</v>
      </c>
      <c r="I7" s="36">
        <f>IF(ISNUMBER(Inputs!I19),Inputs!I19,0)</f>
        <v>0</v>
      </c>
      <c r="J7" s="36">
        <f>IF(ISNUMBER(Inputs!J19),Inputs!J19,0)</f>
        <v>0</v>
      </c>
    </row>
    <row r="8" spans="2:10" ht="15.75" customHeight="1" x14ac:dyDescent="0.2">
      <c r="B8" s="14" t="s">
        <v>140</v>
      </c>
      <c r="C8" s="36">
        <f>IF(ISNUMBER(Inputs!C20),Inputs!C20,0)</f>
        <v>0</v>
      </c>
      <c r="D8" s="36">
        <f>IF(ISNUMBER(Inputs!D20),Inputs!D20,0)</f>
        <v>0</v>
      </c>
      <c r="E8" s="36">
        <f>IF(ISNUMBER(Inputs!E20),Inputs!E20,0)</f>
        <v>0</v>
      </c>
      <c r="F8" s="36">
        <f>IF(ISNUMBER(Inputs!F20),Inputs!F20,0)</f>
        <v>0</v>
      </c>
      <c r="G8" s="36">
        <f>IF(ISNUMBER(Inputs!G20),Inputs!G20,0)</f>
        <v>0</v>
      </c>
      <c r="H8" s="36">
        <f>IF(ISNUMBER(Inputs!H20),Inputs!H20,0)</f>
        <v>0</v>
      </c>
      <c r="I8" s="36">
        <f>IF(ISNUMBER(Inputs!I20),Inputs!I20,0)</f>
        <v>0</v>
      </c>
      <c r="J8" s="36">
        <f>IF(ISNUMBER(Inputs!J20),Inputs!J20,0)</f>
        <v>0</v>
      </c>
    </row>
    <row r="9" spans="2:10" ht="15.75" customHeight="1" x14ac:dyDescent="0.2">
      <c r="B9" s="45" t="s">
        <v>42</v>
      </c>
      <c r="C9" s="36">
        <f>IF(ISNUMBER(Inputs!C21),Inputs!C21,0)</f>
        <v>0</v>
      </c>
      <c r="D9" s="36">
        <f>IF(ISNUMBER(Inputs!D21),Inputs!D21,0)</f>
        <v>0</v>
      </c>
      <c r="E9" s="36">
        <f>IF(ISNUMBER(Inputs!E21),Inputs!E21,0)</f>
        <v>0</v>
      </c>
      <c r="F9" s="36">
        <f>IF(ISNUMBER(Inputs!F21),Inputs!F21,0)</f>
        <v>0</v>
      </c>
      <c r="G9" s="36">
        <f>IF(ISNUMBER(Inputs!G21),Inputs!G21,0)</f>
        <v>0</v>
      </c>
      <c r="H9" s="36">
        <f>IF(ISNUMBER(Inputs!H21),Inputs!H21,0)</f>
        <v>0</v>
      </c>
      <c r="I9" s="36">
        <f>IF(ISNUMBER(Inputs!I21),Inputs!I21,0)</f>
        <v>0</v>
      </c>
      <c r="J9" s="36">
        <f>IF(ISNUMBER(Inputs!J21),Inputs!J21,0)</f>
        <v>0</v>
      </c>
    </row>
    <row r="10" spans="2:10" ht="15.75" customHeight="1" x14ac:dyDescent="0.2">
      <c r="B10" s="14" t="s">
        <v>43</v>
      </c>
      <c r="C10" s="36">
        <f>IF(ISNUMBER(Inputs!C22),Inputs!C22,0)</f>
        <v>0</v>
      </c>
      <c r="D10" s="36">
        <f>IF(ISNUMBER(Inputs!D22),Inputs!D22,0)</f>
        <v>0</v>
      </c>
      <c r="E10" s="36">
        <f>IF(ISNUMBER(Inputs!E22),Inputs!E22,0)</f>
        <v>0</v>
      </c>
      <c r="F10" s="36">
        <f>IF(ISNUMBER(Inputs!F22),Inputs!F22,0)</f>
        <v>0</v>
      </c>
      <c r="G10" s="36">
        <f>IF(ISNUMBER(Inputs!G22),Inputs!G22,0)</f>
        <v>0</v>
      </c>
      <c r="H10" s="36">
        <f>IF(ISNUMBER(Inputs!H22),Inputs!H22,0)</f>
        <v>0</v>
      </c>
      <c r="I10" s="36">
        <f>IF(ISNUMBER(Inputs!I22),Inputs!I22,0)</f>
        <v>0</v>
      </c>
      <c r="J10" s="36">
        <f>IF(ISNUMBER(Inputs!J22),Inputs!J22,0)</f>
        <v>0</v>
      </c>
    </row>
    <row r="11" spans="2:10" ht="15.75" customHeight="1" x14ac:dyDescent="0.2">
      <c r="B11" s="46" t="s">
        <v>141</v>
      </c>
      <c r="C11" s="47">
        <f t="shared" ref="C11:J11" si="0">C6+C7-C8+C9+C10</f>
        <v>0</v>
      </c>
      <c r="D11" s="47">
        <f t="shared" si="0"/>
        <v>0</v>
      </c>
      <c r="E11" s="47">
        <f t="shared" si="0"/>
        <v>0</v>
      </c>
      <c r="F11" s="47">
        <f t="shared" si="0"/>
        <v>0</v>
      </c>
      <c r="G11" s="47">
        <f t="shared" si="0"/>
        <v>0</v>
      </c>
      <c r="H11" s="47">
        <f t="shared" si="0"/>
        <v>0</v>
      </c>
      <c r="I11" s="47">
        <f t="shared" si="0"/>
        <v>0</v>
      </c>
      <c r="J11" s="47">
        <f t="shared" si="0"/>
        <v>0</v>
      </c>
    </row>
    <row r="12" spans="2:10" ht="15.75" customHeight="1" x14ac:dyDescent="0.2">
      <c r="B12" s="34" t="s">
        <v>142</v>
      </c>
      <c r="C12" s="34"/>
      <c r="D12" s="34"/>
      <c r="E12" s="34"/>
      <c r="F12" s="34"/>
      <c r="G12" s="34"/>
      <c r="H12" s="34"/>
      <c r="I12" s="34"/>
      <c r="J12" s="34"/>
    </row>
    <row r="13" spans="2:10" ht="15.75" customHeight="1" x14ac:dyDescent="0.2">
      <c r="B13" s="45" t="s">
        <v>44</v>
      </c>
      <c r="C13" s="36">
        <f>IF(ISNUMBER(Inputs!C23),Inputs!C23,0)</f>
        <v>0</v>
      </c>
      <c r="D13" s="36">
        <f>IF(ISNUMBER(Inputs!D23),Inputs!D23,0)</f>
        <v>0</v>
      </c>
      <c r="E13" s="36">
        <f>IF(ISNUMBER(Inputs!E23),Inputs!E23,0)</f>
        <v>0</v>
      </c>
      <c r="F13" s="36">
        <f>IF(ISNUMBER(Inputs!F23),Inputs!F23,0)</f>
        <v>0</v>
      </c>
      <c r="G13" s="36">
        <f>IF(ISNUMBER(Inputs!G23),Inputs!G23,0)</f>
        <v>0</v>
      </c>
      <c r="H13" s="36">
        <f>IF(ISNUMBER(Inputs!H23),Inputs!H23,0)</f>
        <v>0</v>
      </c>
      <c r="I13" s="36">
        <f>IF(ISNUMBER(Inputs!I23),Inputs!I23,0)</f>
        <v>0</v>
      </c>
      <c r="J13" s="36">
        <f>IF(ISNUMBER(Inputs!J23),Inputs!J23,0)</f>
        <v>0</v>
      </c>
    </row>
    <row r="14" spans="2:10" ht="15.75" customHeight="1" x14ac:dyDescent="0.2">
      <c r="B14" s="14" t="s">
        <v>143</v>
      </c>
      <c r="C14" s="36">
        <f>IF(ISNUMBER(Inputs!C24),Inputs!C24,0)</f>
        <v>0</v>
      </c>
      <c r="D14" s="36">
        <f>IF(ISNUMBER(Inputs!D24),Inputs!D24,0)</f>
        <v>0</v>
      </c>
      <c r="E14" s="36">
        <f>IF(ISNUMBER(Inputs!E24),Inputs!E24,0)</f>
        <v>0</v>
      </c>
      <c r="F14" s="36">
        <f>IF(ISNUMBER(Inputs!F24),Inputs!F24,0)</f>
        <v>0</v>
      </c>
      <c r="G14" s="36">
        <f>IF(ISNUMBER(Inputs!G24),Inputs!G24,0)</f>
        <v>0</v>
      </c>
      <c r="H14" s="36">
        <f>IF(ISNUMBER(Inputs!H24),Inputs!H24,0)</f>
        <v>0</v>
      </c>
      <c r="I14" s="36">
        <f>IF(ISNUMBER(Inputs!I24),Inputs!I24,0)</f>
        <v>0</v>
      </c>
      <c r="J14" s="36">
        <f>IF(ISNUMBER(Inputs!J24),Inputs!J24,0)</f>
        <v>0</v>
      </c>
    </row>
    <row r="15" spans="2:10" ht="15.75" customHeight="1" x14ac:dyDescent="0.2">
      <c r="B15" s="48" t="s">
        <v>144</v>
      </c>
      <c r="C15" s="49">
        <f t="shared" ref="C15:J15" si="1">C13-C14</f>
        <v>0</v>
      </c>
      <c r="D15" s="49">
        <f t="shared" si="1"/>
        <v>0</v>
      </c>
      <c r="E15" s="49">
        <f t="shared" si="1"/>
        <v>0</v>
      </c>
      <c r="F15" s="49">
        <f t="shared" si="1"/>
        <v>0</v>
      </c>
      <c r="G15" s="49">
        <f t="shared" si="1"/>
        <v>0</v>
      </c>
      <c r="H15" s="49">
        <f t="shared" si="1"/>
        <v>0</v>
      </c>
      <c r="I15" s="49">
        <f t="shared" si="1"/>
        <v>0</v>
      </c>
      <c r="J15" s="49">
        <f t="shared" si="1"/>
        <v>0</v>
      </c>
    </row>
    <row r="16" spans="2:10" ht="15.75" customHeight="1" x14ac:dyDescent="0.2">
      <c r="B16" s="14" t="s">
        <v>46</v>
      </c>
      <c r="C16" s="36">
        <f>IF(ISNUMBER(Inputs!C25),Inputs!C25,0)</f>
        <v>0</v>
      </c>
      <c r="D16" s="36">
        <f>IF(ISNUMBER(Inputs!D25),Inputs!D25,0)</f>
        <v>0</v>
      </c>
      <c r="E16" s="36">
        <f>IF(ISNUMBER(Inputs!E25),Inputs!E25,0)</f>
        <v>0</v>
      </c>
      <c r="F16" s="36">
        <f>IF(ISNUMBER(Inputs!F25),Inputs!F25,0)</f>
        <v>0</v>
      </c>
      <c r="G16" s="36">
        <f>IF(ISNUMBER(Inputs!G25),Inputs!G25,0)</f>
        <v>0</v>
      </c>
      <c r="H16" s="36">
        <f>IF(ISNUMBER(Inputs!H25),Inputs!H25,0)</f>
        <v>0</v>
      </c>
      <c r="I16" s="36">
        <f>IF(ISNUMBER(Inputs!I25),Inputs!I25,0)</f>
        <v>0</v>
      </c>
      <c r="J16" s="36">
        <f>IF(ISNUMBER(Inputs!J25),Inputs!J25,0)</f>
        <v>0</v>
      </c>
    </row>
    <row r="17" spans="2:10" ht="15.75" customHeight="1" x14ac:dyDescent="0.2">
      <c r="B17" s="45" t="s">
        <v>47</v>
      </c>
      <c r="C17" s="36">
        <f>IF(ISNUMBER(Inputs!C26),Inputs!C26,0)</f>
        <v>0</v>
      </c>
      <c r="D17" s="36">
        <f>IF(ISNUMBER(Inputs!D26),Inputs!D26,0)</f>
        <v>0</v>
      </c>
      <c r="E17" s="36">
        <f>IF(ISNUMBER(Inputs!E26),Inputs!E26,0)</f>
        <v>0</v>
      </c>
      <c r="F17" s="36">
        <f>IF(ISNUMBER(Inputs!F26),Inputs!F26,0)</f>
        <v>0</v>
      </c>
      <c r="G17" s="36">
        <f>IF(ISNUMBER(Inputs!G26),Inputs!G26,0)</f>
        <v>0</v>
      </c>
      <c r="H17" s="36">
        <f>IF(ISNUMBER(Inputs!H26),Inputs!H26,0)</f>
        <v>0</v>
      </c>
      <c r="I17" s="36">
        <f>IF(ISNUMBER(Inputs!I26),Inputs!I26,0)</f>
        <v>0</v>
      </c>
      <c r="J17" s="36">
        <f>IF(ISNUMBER(Inputs!J26),Inputs!J26,0)</f>
        <v>0</v>
      </c>
    </row>
    <row r="18" spans="2:10" ht="15.75" customHeight="1" x14ac:dyDescent="0.2">
      <c r="B18" s="14" t="s">
        <v>48</v>
      </c>
      <c r="C18" s="36">
        <f>IF(ISNUMBER(Inputs!C27),Inputs!C27,0)</f>
        <v>0</v>
      </c>
      <c r="D18" s="36">
        <f>IF(ISNUMBER(Inputs!D27),Inputs!D27,0)</f>
        <v>0</v>
      </c>
      <c r="E18" s="36">
        <f>IF(ISNUMBER(Inputs!E27),Inputs!E27,0)</f>
        <v>0</v>
      </c>
      <c r="F18" s="36">
        <f>IF(ISNUMBER(Inputs!F27),Inputs!F27,0)</f>
        <v>0</v>
      </c>
      <c r="G18" s="36">
        <f>IF(ISNUMBER(Inputs!G27),Inputs!G27,0)</f>
        <v>0</v>
      </c>
      <c r="H18" s="36">
        <f>IF(ISNUMBER(Inputs!H27),Inputs!H27,0)</f>
        <v>0</v>
      </c>
      <c r="I18" s="36">
        <f>IF(ISNUMBER(Inputs!I27),Inputs!I27,0)</f>
        <v>0</v>
      </c>
      <c r="J18" s="36">
        <f>IF(ISNUMBER(Inputs!J27),Inputs!J27,0)</f>
        <v>0</v>
      </c>
    </row>
    <row r="19" spans="2:10" ht="19.5" customHeight="1" x14ac:dyDescent="0.2">
      <c r="B19" s="46" t="s">
        <v>145</v>
      </c>
      <c r="C19" s="47">
        <f t="shared" ref="C19:J19" si="2">C11+C15+C16+C17+C18</f>
        <v>0</v>
      </c>
      <c r="D19" s="47">
        <f t="shared" si="2"/>
        <v>0</v>
      </c>
      <c r="E19" s="47">
        <f t="shared" si="2"/>
        <v>0</v>
      </c>
      <c r="F19" s="47">
        <f t="shared" si="2"/>
        <v>0</v>
      </c>
      <c r="G19" s="47">
        <f t="shared" si="2"/>
        <v>0</v>
      </c>
      <c r="H19" s="47">
        <f t="shared" si="2"/>
        <v>0</v>
      </c>
      <c r="I19" s="47">
        <f t="shared" si="2"/>
        <v>0</v>
      </c>
      <c r="J19" s="47">
        <f t="shared" si="2"/>
        <v>0</v>
      </c>
    </row>
    <row r="20" spans="2:10" ht="15.75" customHeight="1" x14ac:dyDescent="0.2"/>
    <row r="21" spans="2:10" ht="15.75" customHeight="1" x14ac:dyDescent="0.2">
      <c r="B21" s="34" t="s">
        <v>146</v>
      </c>
      <c r="C21" s="34"/>
      <c r="D21" s="34"/>
      <c r="E21" s="34"/>
      <c r="F21" s="34"/>
      <c r="G21" s="34"/>
      <c r="H21" s="34"/>
      <c r="I21" s="34"/>
      <c r="J21" s="34"/>
    </row>
    <row r="22" spans="2:10" ht="15.75" customHeight="1" x14ac:dyDescent="0.2">
      <c r="B22" s="34" t="s">
        <v>147</v>
      </c>
      <c r="C22" s="34"/>
      <c r="D22" s="34"/>
      <c r="E22" s="34"/>
      <c r="F22" s="34"/>
      <c r="G22" s="34"/>
      <c r="H22" s="34"/>
      <c r="I22" s="34"/>
      <c r="J22" s="34"/>
    </row>
    <row r="23" spans="2:10" ht="15.75" customHeight="1" x14ac:dyDescent="0.2">
      <c r="B23" s="45" t="s">
        <v>50</v>
      </c>
      <c r="C23" s="36">
        <f>IF(ISNUMBER(Inputs!C29),Inputs!C29,0)</f>
        <v>0</v>
      </c>
      <c r="D23" s="36">
        <f>IF(ISNUMBER(Inputs!D29),Inputs!D29,0)</f>
        <v>0</v>
      </c>
      <c r="E23" s="36">
        <f>IF(ISNUMBER(Inputs!E29),Inputs!E29,0)</f>
        <v>0</v>
      </c>
      <c r="F23" s="36">
        <f>IF(ISNUMBER(Inputs!F29),Inputs!F29,0)</f>
        <v>0</v>
      </c>
      <c r="G23" s="36">
        <f>IF(ISNUMBER(Inputs!G29),Inputs!G29,0)</f>
        <v>0</v>
      </c>
      <c r="H23" s="36">
        <f>IF(ISNUMBER(Inputs!H29),Inputs!H29,0)</f>
        <v>0</v>
      </c>
      <c r="I23" s="36">
        <f>IF(ISNUMBER(Inputs!I29),Inputs!I29,0)</f>
        <v>0</v>
      </c>
      <c r="J23" s="36">
        <f>IF(ISNUMBER(Inputs!J29),Inputs!J29,0)</f>
        <v>0</v>
      </c>
    </row>
    <row r="24" spans="2:10" ht="15.75" customHeight="1" x14ac:dyDescent="0.2">
      <c r="B24" s="14" t="s">
        <v>51</v>
      </c>
      <c r="C24" s="36">
        <f>IF(ISNUMBER(Inputs!C30),Inputs!C30,0)</f>
        <v>0</v>
      </c>
      <c r="D24" s="36">
        <f>IF(ISNUMBER(Inputs!D30),Inputs!D30,0)</f>
        <v>0</v>
      </c>
      <c r="E24" s="36">
        <f>IF(ISNUMBER(Inputs!E30),Inputs!E30,0)</f>
        <v>0</v>
      </c>
      <c r="F24" s="36">
        <f>IF(ISNUMBER(Inputs!F30),Inputs!F30,0)</f>
        <v>0</v>
      </c>
      <c r="G24" s="36">
        <f>IF(ISNUMBER(Inputs!G30),Inputs!G30,0)</f>
        <v>0</v>
      </c>
      <c r="H24" s="36">
        <f>IF(ISNUMBER(Inputs!H30),Inputs!H30,0)</f>
        <v>0</v>
      </c>
      <c r="I24" s="36">
        <f>IF(ISNUMBER(Inputs!I30),Inputs!I30,0)</f>
        <v>0</v>
      </c>
      <c r="J24" s="36">
        <f>IF(ISNUMBER(Inputs!J30),Inputs!J30,0)</f>
        <v>0</v>
      </c>
    </row>
    <row r="25" spans="2:10" ht="15.75" customHeight="1" x14ac:dyDescent="0.2">
      <c r="B25" s="45" t="s">
        <v>148</v>
      </c>
      <c r="C25" s="36">
        <f>IF(ISNUMBER(Inputs!C31),Inputs!C31,0)</f>
        <v>0</v>
      </c>
      <c r="D25" s="36">
        <f>IF(ISNUMBER(Inputs!D31),Inputs!D31,0)</f>
        <v>0</v>
      </c>
      <c r="E25" s="36">
        <f>IF(ISNUMBER(Inputs!E31),Inputs!E31,0)</f>
        <v>0</v>
      </c>
      <c r="F25" s="36">
        <f>IF(ISNUMBER(Inputs!F31),Inputs!F31,0)</f>
        <v>0</v>
      </c>
      <c r="G25" s="36">
        <f>IF(ISNUMBER(Inputs!G31),Inputs!G31,0)</f>
        <v>0</v>
      </c>
      <c r="H25" s="36">
        <f>IF(ISNUMBER(Inputs!H31),Inputs!H31,0)</f>
        <v>0</v>
      </c>
      <c r="I25" s="36">
        <f>IF(ISNUMBER(Inputs!I31),Inputs!I31,0)</f>
        <v>0</v>
      </c>
      <c r="J25" s="36">
        <f>IF(ISNUMBER(Inputs!J31),Inputs!J31,0)</f>
        <v>0</v>
      </c>
    </row>
    <row r="26" spans="2:10" ht="15.75" customHeight="1" x14ac:dyDescent="0.2">
      <c r="B26" s="14" t="s">
        <v>53</v>
      </c>
      <c r="C26" s="36">
        <f>IF(ISNUMBER(Inputs!C32),Inputs!C32,0)</f>
        <v>0</v>
      </c>
      <c r="D26" s="36">
        <f>IF(ISNUMBER(Inputs!D32),Inputs!D32,0)</f>
        <v>0</v>
      </c>
      <c r="E26" s="36">
        <f>IF(ISNUMBER(Inputs!E32),Inputs!E32,0)</f>
        <v>0</v>
      </c>
      <c r="F26" s="36">
        <f>IF(ISNUMBER(Inputs!F32),Inputs!F32,0)</f>
        <v>0</v>
      </c>
      <c r="G26" s="36">
        <f>IF(ISNUMBER(Inputs!G32),Inputs!G32,0)</f>
        <v>0</v>
      </c>
      <c r="H26" s="36">
        <f>IF(ISNUMBER(Inputs!H32),Inputs!H32,0)</f>
        <v>0</v>
      </c>
      <c r="I26" s="36">
        <f>IF(ISNUMBER(Inputs!I32),Inputs!I32,0)</f>
        <v>0</v>
      </c>
      <c r="J26" s="36">
        <f>IF(ISNUMBER(Inputs!J32),Inputs!J32,0)</f>
        <v>0</v>
      </c>
    </row>
    <row r="27" spans="2:10" ht="15.75" customHeight="1" x14ac:dyDescent="0.2">
      <c r="B27" s="45" t="s">
        <v>54</v>
      </c>
      <c r="C27" s="36">
        <f>IF(ISNUMBER(Inputs!C33),Inputs!C33,0)</f>
        <v>0</v>
      </c>
      <c r="D27" s="36">
        <f>IF(ISNUMBER(Inputs!D33),Inputs!D33,0)</f>
        <v>0</v>
      </c>
      <c r="E27" s="36">
        <f>IF(ISNUMBER(Inputs!E33),Inputs!E33,0)</f>
        <v>0</v>
      </c>
      <c r="F27" s="36">
        <f>IF(ISNUMBER(Inputs!F33),Inputs!F33,0)</f>
        <v>0</v>
      </c>
      <c r="G27" s="36">
        <f>IF(ISNUMBER(Inputs!G33),Inputs!G33,0)</f>
        <v>0</v>
      </c>
      <c r="H27" s="36">
        <f>IF(ISNUMBER(Inputs!H33),Inputs!H33,0)</f>
        <v>0</v>
      </c>
      <c r="I27" s="36">
        <f>IF(ISNUMBER(Inputs!I33),Inputs!I33,0)</f>
        <v>0</v>
      </c>
      <c r="J27" s="36">
        <f>IF(ISNUMBER(Inputs!J33),Inputs!J33,0)</f>
        <v>0</v>
      </c>
    </row>
    <row r="28" spans="2:10" ht="15.75" customHeight="1" x14ac:dyDescent="0.2">
      <c r="B28" s="46" t="s">
        <v>149</v>
      </c>
      <c r="C28" s="47">
        <f t="shared" ref="C28:J28" si="3">C23+C24+C25+C26+C27</f>
        <v>0</v>
      </c>
      <c r="D28" s="47">
        <f t="shared" si="3"/>
        <v>0</v>
      </c>
      <c r="E28" s="47">
        <f t="shared" si="3"/>
        <v>0</v>
      </c>
      <c r="F28" s="47">
        <f t="shared" si="3"/>
        <v>0</v>
      </c>
      <c r="G28" s="47">
        <f t="shared" si="3"/>
        <v>0</v>
      </c>
      <c r="H28" s="47">
        <f t="shared" si="3"/>
        <v>0</v>
      </c>
      <c r="I28" s="47">
        <f t="shared" si="3"/>
        <v>0</v>
      </c>
      <c r="J28" s="47">
        <f t="shared" si="3"/>
        <v>0</v>
      </c>
    </row>
    <row r="29" spans="2:10" ht="15.75" customHeight="1" x14ac:dyDescent="0.2">
      <c r="B29" s="34" t="s">
        <v>150</v>
      </c>
      <c r="C29" s="34"/>
      <c r="D29" s="34"/>
      <c r="E29" s="34"/>
      <c r="F29" s="34"/>
      <c r="G29" s="34"/>
      <c r="H29" s="34"/>
      <c r="I29" s="34"/>
      <c r="J29" s="34"/>
    </row>
    <row r="30" spans="2:10" ht="15.75" customHeight="1" x14ac:dyDescent="0.2">
      <c r="B30" s="14" t="s">
        <v>151</v>
      </c>
      <c r="C30" s="36">
        <f>IF(ISNUMBER(Inputs!C34),Inputs!C34,0)</f>
        <v>0</v>
      </c>
      <c r="D30" s="36">
        <f>IF(ISNUMBER(Inputs!D34),Inputs!D34,0)</f>
        <v>0</v>
      </c>
      <c r="E30" s="36">
        <f>IF(ISNUMBER(Inputs!E34),Inputs!E34,0)</f>
        <v>0</v>
      </c>
      <c r="F30" s="36">
        <f>IF(ISNUMBER(Inputs!F34),Inputs!F34,0)</f>
        <v>0</v>
      </c>
      <c r="G30" s="36">
        <f>IF(ISNUMBER(Inputs!G34),Inputs!G34,0)</f>
        <v>0</v>
      </c>
      <c r="H30" s="36">
        <f>IF(ISNUMBER(Inputs!H34),Inputs!H34,0)</f>
        <v>0</v>
      </c>
      <c r="I30" s="36">
        <f>IF(ISNUMBER(Inputs!I34),Inputs!I34,0)</f>
        <v>0</v>
      </c>
      <c r="J30" s="36">
        <f>IF(ISNUMBER(Inputs!J34),Inputs!J34,0)</f>
        <v>0</v>
      </c>
    </row>
    <row r="31" spans="2:10" ht="15.75" customHeight="1" x14ac:dyDescent="0.2">
      <c r="B31" s="45" t="s">
        <v>56</v>
      </c>
      <c r="C31" s="36">
        <f>IF(ISNUMBER(Inputs!C35),Inputs!C35,0)</f>
        <v>0</v>
      </c>
      <c r="D31" s="36">
        <f>IF(ISNUMBER(Inputs!D35),Inputs!D35,0)</f>
        <v>0</v>
      </c>
      <c r="E31" s="36">
        <f>IF(ISNUMBER(Inputs!E35),Inputs!E35,0)</f>
        <v>0</v>
      </c>
      <c r="F31" s="36">
        <f>IF(ISNUMBER(Inputs!F35),Inputs!F35,0)</f>
        <v>0</v>
      </c>
      <c r="G31" s="36">
        <f>IF(ISNUMBER(Inputs!G35),Inputs!G35,0)</f>
        <v>0</v>
      </c>
      <c r="H31" s="36">
        <f>IF(ISNUMBER(Inputs!H35),Inputs!H35,0)</f>
        <v>0</v>
      </c>
      <c r="I31" s="36">
        <f>IF(ISNUMBER(Inputs!I35),Inputs!I35,0)</f>
        <v>0</v>
      </c>
      <c r="J31" s="36">
        <f>IF(ISNUMBER(Inputs!J35),Inputs!J35,0)</f>
        <v>0</v>
      </c>
    </row>
    <row r="32" spans="2:10" ht="15.75" customHeight="1" x14ac:dyDescent="0.2">
      <c r="B32" s="14" t="s">
        <v>57</v>
      </c>
      <c r="C32" s="36">
        <f>IF(ISNUMBER(Inputs!C36),Inputs!C36,0)</f>
        <v>0</v>
      </c>
      <c r="D32" s="36">
        <f>IF(ISNUMBER(Inputs!D36),Inputs!D36,0)</f>
        <v>0</v>
      </c>
      <c r="E32" s="36">
        <f>IF(ISNUMBER(Inputs!E36),Inputs!E36,0)</f>
        <v>0</v>
      </c>
      <c r="F32" s="36">
        <f>IF(ISNUMBER(Inputs!F36),Inputs!F36,0)</f>
        <v>0</v>
      </c>
      <c r="G32" s="36">
        <f>IF(ISNUMBER(Inputs!G36),Inputs!G36,0)</f>
        <v>0</v>
      </c>
      <c r="H32" s="36">
        <f>IF(ISNUMBER(Inputs!H36),Inputs!H36,0)</f>
        <v>0</v>
      </c>
      <c r="I32" s="36">
        <f>IF(ISNUMBER(Inputs!I36),Inputs!I36,0)</f>
        <v>0</v>
      </c>
      <c r="J32" s="36">
        <f>IF(ISNUMBER(Inputs!J36),Inputs!J36,0)</f>
        <v>0</v>
      </c>
    </row>
    <row r="33" spans="2:10" ht="15.75" customHeight="1" x14ac:dyDescent="0.2">
      <c r="B33" s="46" t="s">
        <v>152</v>
      </c>
      <c r="C33" s="47">
        <f t="shared" ref="C33:J33" si="4">C30+C31+C32</f>
        <v>0</v>
      </c>
      <c r="D33" s="47">
        <f t="shared" si="4"/>
        <v>0</v>
      </c>
      <c r="E33" s="47">
        <f t="shared" si="4"/>
        <v>0</v>
      </c>
      <c r="F33" s="47">
        <f t="shared" si="4"/>
        <v>0</v>
      </c>
      <c r="G33" s="47">
        <f t="shared" si="4"/>
        <v>0</v>
      </c>
      <c r="H33" s="47">
        <f t="shared" si="4"/>
        <v>0</v>
      </c>
      <c r="I33" s="47">
        <f t="shared" si="4"/>
        <v>0</v>
      </c>
      <c r="J33" s="47">
        <f t="shared" si="4"/>
        <v>0</v>
      </c>
    </row>
    <row r="34" spans="2:10" ht="19.5" customHeight="1" x14ac:dyDescent="0.2">
      <c r="B34" s="46" t="s">
        <v>153</v>
      </c>
      <c r="C34" s="47">
        <f t="shared" ref="C34:J34" si="5">C28+C33</f>
        <v>0</v>
      </c>
      <c r="D34" s="47">
        <f t="shared" si="5"/>
        <v>0</v>
      </c>
      <c r="E34" s="47">
        <f t="shared" si="5"/>
        <v>0</v>
      </c>
      <c r="F34" s="47">
        <f t="shared" si="5"/>
        <v>0</v>
      </c>
      <c r="G34" s="47">
        <f t="shared" si="5"/>
        <v>0</v>
      </c>
      <c r="H34" s="47">
        <f t="shared" si="5"/>
        <v>0</v>
      </c>
      <c r="I34" s="47">
        <f t="shared" si="5"/>
        <v>0</v>
      </c>
      <c r="J34" s="47">
        <f t="shared" si="5"/>
        <v>0</v>
      </c>
    </row>
    <row r="35" spans="2:10" ht="15.75" customHeight="1" x14ac:dyDescent="0.2"/>
    <row r="36" spans="2:10" ht="15.75" customHeight="1" x14ac:dyDescent="0.2">
      <c r="B36" s="34" t="s">
        <v>154</v>
      </c>
      <c r="C36" s="34"/>
      <c r="D36" s="34"/>
      <c r="E36" s="34"/>
      <c r="F36" s="34"/>
      <c r="G36" s="34"/>
      <c r="H36" s="34"/>
      <c r="I36" s="34"/>
      <c r="J36" s="34"/>
    </row>
    <row r="37" spans="2:10" ht="15.75" customHeight="1" x14ac:dyDescent="0.2">
      <c r="B37" s="45" t="s">
        <v>58</v>
      </c>
      <c r="C37" s="36">
        <f>IF(ISNUMBER(Inputs!C37),Inputs!C37,0)</f>
        <v>0</v>
      </c>
      <c r="D37" s="36">
        <f>IF(ISNUMBER(Inputs!D37),Inputs!D37,0)</f>
        <v>0</v>
      </c>
      <c r="E37" s="36">
        <f>IF(ISNUMBER(Inputs!E37),Inputs!E37,0)</f>
        <v>0</v>
      </c>
      <c r="F37" s="36">
        <f>IF(ISNUMBER(Inputs!F37),Inputs!F37,0)</f>
        <v>0</v>
      </c>
      <c r="G37" s="36">
        <f>IF(ISNUMBER(Inputs!G37),Inputs!G37,0)</f>
        <v>0</v>
      </c>
      <c r="H37" s="36">
        <f>IF(ISNUMBER(Inputs!H37),Inputs!H37,0)</f>
        <v>0</v>
      </c>
      <c r="I37" s="36">
        <f>IF(ISNUMBER(Inputs!I37),Inputs!I37,0)</f>
        <v>0</v>
      </c>
      <c r="J37" s="36">
        <f>IF(ISNUMBER(Inputs!J37),Inputs!J37,0)</f>
        <v>0</v>
      </c>
    </row>
    <row r="38" spans="2:10" ht="15.75" customHeight="1" x14ac:dyDescent="0.2">
      <c r="B38" s="14" t="s">
        <v>155</v>
      </c>
      <c r="C38" s="36">
        <f>IF(ISNUMBER(Inputs!C38),Inputs!C38,0)+'Income Statement'!C27</f>
        <v>0</v>
      </c>
      <c r="D38" s="36">
        <f>IF(ISNUMBER(Inputs!D38),Inputs!D38,0)+'Income Statement'!D27</f>
        <v>0</v>
      </c>
      <c r="E38" s="36">
        <f>IF(ISNUMBER(Inputs!E38),Inputs!E38,0)+'Income Statement'!E27</f>
        <v>0</v>
      </c>
      <c r="F38" s="36">
        <f>IF(ISNUMBER(Inputs!F38),Inputs!F38,0)+'Income Statement'!F27</f>
        <v>0</v>
      </c>
      <c r="G38" s="36">
        <f>IF(ISNUMBER(Inputs!G38),Inputs!G38,0)+'Income Statement'!G27</f>
        <v>0</v>
      </c>
      <c r="H38" s="36">
        <f>IF(ISNUMBER(Inputs!H38),Inputs!H38,0)+'Income Statement'!H27</f>
        <v>0</v>
      </c>
      <c r="I38" s="36">
        <f>IF(ISNUMBER(Inputs!I38),Inputs!I38,0)+'Income Statement'!I27</f>
        <v>0</v>
      </c>
      <c r="J38" s="36">
        <f>IF(ISNUMBER(Inputs!J38),Inputs!J38,0)+'Income Statement'!J27</f>
        <v>0</v>
      </c>
    </row>
    <row r="39" spans="2:10" ht="15.75" customHeight="1" x14ac:dyDescent="0.2">
      <c r="B39" s="45" t="s">
        <v>156</v>
      </c>
      <c r="C39" s="36">
        <f>IF(ISNUMBER(Inputs!C39),Inputs!C39,0)</f>
        <v>0</v>
      </c>
      <c r="D39" s="36">
        <f>IF(ISNUMBER(Inputs!D39),Inputs!D39,0)</f>
        <v>0</v>
      </c>
      <c r="E39" s="36">
        <f>IF(ISNUMBER(Inputs!E39),Inputs!E39,0)</f>
        <v>0</v>
      </c>
      <c r="F39" s="36">
        <f>IF(ISNUMBER(Inputs!F39),Inputs!F39,0)</f>
        <v>0</v>
      </c>
      <c r="G39" s="36">
        <f>IF(ISNUMBER(Inputs!G39),Inputs!G39,0)</f>
        <v>0</v>
      </c>
      <c r="H39" s="36">
        <f>IF(ISNUMBER(Inputs!H39),Inputs!H39,0)</f>
        <v>0</v>
      </c>
      <c r="I39" s="36">
        <f>IF(ISNUMBER(Inputs!I39),Inputs!I39,0)</f>
        <v>0</v>
      </c>
      <c r="J39" s="36">
        <f>IF(ISNUMBER(Inputs!J39),Inputs!J39,0)</f>
        <v>0</v>
      </c>
    </row>
    <row r="40" spans="2:10" ht="15.75" customHeight="1" x14ac:dyDescent="0.2">
      <c r="B40" s="14" t="s">
        <v>157</v>
      </c>
      <c r="C40" s="36">
        <f>IF(ISNUMBER(Inputs!C40),Inputs!C40,0)</f>
        <v>0</v>
      </c>
      <c r="D40" s="36">
        <f>IF(ISNUMBER(Inputs!D40),Inputs!D40,0)</f>
        <v>0</v>
      </c>
      <c r="E40" s="36">
        <f>IF(ISNUMBER(Inputs!E40),Inputs!E40,0)</f>
        <v>0</v>
      </c>
      <c r="F40" s="36">
        <f>IF(ISNUMBER(Inputs!F40),Inputs!F40,0)</f>
        <v>0</v>
      </c>
      <c r="G40" s="36">
        <f>IF(ISNUMBER(Inputs!G40),Inputs!G40,0)</f>
        <v>0</v>
      </c>
      <c r="H40" s="36">
        <f>IF(ISNUMBER(Inputs!H40),Inputs!H40,0)</f>
        <v>0</v>
      </c>
      <c r="I40" s="36">
        <f>IF(ISNUMBER(Inputs!I40),Inputs!I40,0)</f>
        <v>0</v>
      </c>
      <c r="J40" s="36">
        <f>IF(ISNUMBER(Inputs!J40),Inputs!J40,0)</f>
        <v>0</v>
      </c>
    </row>
    <row r="41" spans="2:10" ht="19.5" customHeight="1" x14ac:dyDescent="0.2">
      <c r="B41" s="46" t="s">
        <v>158</v>
      </c>
      <c r="C41" s="47">
        <f t="shared" ref="C41:J41" si="6">C37+C38+C39-C40</f>
        <v>0</v>
      </c>
      <c r="D41" s="47">
        <f t="shared" si="6"/>
        <v>0</v>
      </c>
      <c r="E41" s="47">
        <f t="shared" si="6"/>
        <v>0</v>
      </c>
      <c r="F41" s="47">
        <f t="shared" si="6"/>
        <v>0</v>
      </c>
      <c r="G41" s="47">
        <f t="shared" si="6"/>
        <v>0</v>
      </c>
      <c r="H41" s="47">
        <f t="shared" si="6"/>
        <v>0</v>
      </c>
      <c r="I41" s="47">
        <f t="shared" si="6"/>
        <v>0</v>
      </c>
      <c r="J41" s="47">
        <f t="shared" si="6"/>
        <v>0</v>
      </c>
    </row>
    <row r="42" spans="2:10" ht="19.5" customHeight="1" x14ac:dyDescent="0.2">
      <c r="B42" s="46" t="s">
        <v>159</v>
      </c>
      <c r="C42" s="47">
        <f t="shared" ref="C42:J42" si="7">C34+C41</f>
        <v>0</v>
      </c>
      <c r="D42" s="47">
        <f t="shared" si="7"/>
        <v>0</v>
      </c>
      <c r="E42" s="47">
        <f t="shared" si="7"/>
        <v>0</v>
      </c>
      <c r="F42" s="47">
        <f t="shared" si="7"/>
        <v>0</v>
      </c>
      <c r="G42" s="47">
        <f t="shared" si="7"/>
        <v>0</v>
      </c>
      <c r="H42" s="47">
        <f t="shared" si="7"/>
        <v>0</v>
      </c>
      <c r="I42" s="47">
        <f t="shared" si="7"/>
        <v>0</v>
      </c>
      <c r="J42" s="47">
        <f t="shared" si="7"/>
        <v>0</v>
      </c>
    </row>
    <row r="43" spans="2:10" ht="15.75" customHeight="1" x14ac:dyDescent="0.2">
      <c r="B43" s="50"/>
      <c r="C43" s="50"/>
      <c r="D43" s="50"/>
      <c r="E43" s="50"/>
      <c r="F43" s="50"/>
      <c r="G43" s="50"/>
      <c r="H43" s="50"/>
      <c r="I43" s="50"/>
      <c r="J43" s="50"/>
    </row>
    <row r="44" spans="2:10" ht="15.75" customHeight="1" x14ac:dyDescent="0.2">
      <c r="B44" s="51" t="s">
        <v>160</v>
      </c>
      <c r="C44" s="51"/>
      <c r="D44" s="51"/>
      <c r="E44" s="51"/>
      <c r="F44" s="51"/>
      <c r="G44" s="51"/>
      <c r="H44" s="51"/>
      <c r="I44" s="51"/>
      <c r="J44" s="51"/>
    </row>
    <row r="45" spans="2:10" ht="21.75" customHeight="1" x14ac:dyDescent="0.2">
      <c r="B45" s="52" t="s">
        <v>161</v>
      </c>
      <c r="C45" s="53">
        <f t="shared" ref="C45:J45" si="8">C19-(C34+C41)</f>
        <v>0</v>
      </c>
      <c r="D45" s="53">
        <f t="shared" si="8"/>
        <v>0</v>
      </c>
      <c r="E45" s="53">
        <f t="shared" si="8"/>
        <v>0</v>
      </c>
      <c r="F45" s="53">
        <f t="shared" si="8"/>
        <v>0</v>
      </c>
      <c r="G45" s="53">
        <f t="shared" si="8"/>
        <v>0</v>
      </c>
      <c r="H45" s="53">
        <f t="shared" si="8"/>
        <v>0</v>
      </c>
      <c r="I45" s="53">
        <f t="shared" si="8"/>
        <v>0</v>
      </c>
      <c r="J45" s="53">
        <f t="shared" si="8"/>
        <v>0</v>
      </c>
    </row>
    <row r="46" spans="2:10" ht="15.75" customHeight="1" x14ac:dyDescent="0.2">
      <c r="B46" s="54" t="s">
        <v>218</v>
      </c>
      <c r="C46" s="54"/>
      <c r="D46" s="54"/>
      <c r="E46" s="54"/>
      <c r="F46" s="54"/>
      <c r="G46" s="54"/>
      <c r="H46" s="54"/>
      <c r="I46" s="54"/>
      <c r="J46" s="54"/>
    </row>
  </sheetData>
  <mergeCells count="10">
    <mergeCell ref="B46:J46"/>
    <mergeCell ref="B21:J21"/>
    <mergeCell ref="B22:J22"/>
    <mergeCell ref="B29:J29"/>
    <mergeCell ref="B36:J36"/>
    <mergeCell ref="B44:J44"/>
    <mergeCell ref="B4:J4"/>
    <mergeCell ref="B5:J5"/>
    <mergeCell ref="B12:J12"/>
    <mergeCell ref="B1:I1"/>
  </mergeCells>
  <conditionalFormatting sqref="C45:J45">
    <cfRule type="expression" dxfId="0" priority="2">
      <formula>ABS(C45)&gt;0.005</formula>
    </cfRule>
  </conditionalFormatting>
  <hyperlinks>
    <hyperlink ref="J1" location="Cover!A1" display="BACK --&gt;" xr:uid="{91880A00-B99E-45C6-BCE1-88036B61078F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5276"/>
  </sheetPr>
  <dimension ref="B1:J3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M11" sqref="M11"/>
    </sheetView>
  </sheetViews>
  <sheetFormatPr defaultColWidth="8.7109375" defaultRowHeight="14.25" x14ac:dyDescent="0.2"/>
  <cols>
    <col min="1" max="1" width="3" style="7" customWidth="1"/>
    <col min="2" max="2" width="38" style="7" customWidth="1"/>
    <col min="3" max="10" width="14" style="7" customWidth="1"/>
    <col min="11" max="16384" width="8.7109375" style="7"/>
  </cols>
  <sheetData>
    <row r="1" spans="2:10" ht="31.5" customHeight="1" x14ac:dyDescent="0.2">
      <c r="B1" s="6" t="s">
        <v>222</v>
      </c>
      <c r="C1" s="6"/>
      <c r="D1" s="6"/>
      <c r="E1" s="6"/>
      <c r="F1" s="6"/>
      <c r="G1" s="6"/>
      <c r="H1" s="6"/>
      <c r="I1" s="6"/>
      <c r="J1" s="63" t="s">
        <v>219</v>
      </c>
    </row>
    <row r="2" spans="2:10" ht="15.75" customHeight="1" x14ac:dyDescent="0.2"/>
    <row r="3" spans="2:10" ht="27.75" customHeight="1" x14ac:dyDescent="0.2">
      <c r="B3" s="31" t="s">
        <v>105</v>
      </c>
      <c r="C3" s="32" t="s">
        <v>106</v>
      </c>
      <c r="D3" s="32" t="s">
        <v>107</v>
      </c>
      <c r="E3" s="32" t="s">
        <v>108</v>
      </c>
      <c r="F3" s="33" t="s">
        <v>109</v>
      </c>
      <c r="G3" s="33" t="s">
        <v>110</v>
      </c>
      <c r="H3" s="33" t="s">
        <v>111</v>
      </c>
      <c r="I3" s="33" t="s">
        <v>112</v>
      </c>
      <c r="J3" s="33" t="s">
        <v>113</v>
      </c>
    </row>
    <row r="4" spans="2:10" ht="15.75" customHeight="1" x14ac:dyDescent="0.2">
      <c r="B4" s="34" t="s">
        <v>162</v>
      </c>
      <c r="C4" s="34"/>
      <c r="D4" s="34"/>
      <c r="E4" s="34"/>
      <c r="F4" s="34"/>
      <c r="G4" s="34"/>
      <c r="H4" s="34"/>
      <c r="I4" s="34"/>
      <c r="J4" s="34"/>
    </row>
    <row r="5" spans="2:10" ht="15.75" customHeight="1" x14ac:dyDescent="0.2">
      <c r="B5" s="45" t="s">
        <v>163</v>
      </c>
      <c r="C5" s="36">
        <f>'Income Statement'!C27</f>
        <v>0</v>
      </c>
      <c r="D5" s="36">
        <f>'Income Statement'!D27</f>
        <v>0</v>
      </c>
      <c r="E5" s="36">
        <f>'Income Statement'!E27</f>
        <v>0</v>
      </c>
      <c r="F5" s="36">
        <f>'Income Statement'!F27</f>
        <v>0</v>
      </c>
      <c r="G5" s="36">
        <f>'Income Statement'!G27</f>
        <v>0</v>
      </c>
      <c r="H5" s="36">
        <f>'Income Statement'!H27</f>
        <v>0</v>
      </c>
      <c r="I5" s="36">
        <f>'Income Statement'!I27</f>
        <v>0</v>
      </c>
      <c r="J5" s="36">
        <f>'Income Statement'!J27</f>
        <v>0</v>
      </c>
    </row>
    <row r="6" spans="2:10" ht="15.75" customHeight="1" x14ac:dyDescent="0.2">
      <c r="B6" s="34" t="s">
        <v>164</v>
      </c>
      <c r="C6" s="34"/>
      <c r="D6" s="34"/>
      <c r="E6" s="34"/>
      <c r="F6" s="34"/>
      <c r="G6" s="34"/>
      <c r="H6" s="34"/>
      <c r="I6" s="34"/>
      <c r="J6" s="34"/>
    </row>
    <row r="7" spans="2:10" ht="15.75" customHeight="1" x14ac:dyDescent="0.2">
      <c r="B7" s="45" t="s">
        <v>165</v>
      </c>
      <c r="C7" s="36">
        <f>'Income Statement'!C15</f>
        <v>0</v>
      </c>
      <c r="D7" s="36">
        <f>'Income Statement'!D15</f>
        <v>0</v>
      </c>
      <c r="E7" s="36">
        <f>'Income Statement'!E15</f>
        <v>0</v>
      </c>
      <c r="F7" s="36">
        <f>'Income Statement'!F15</f>
        <v>0</v>
      </c>
      <c r="G7" s="36">
        <f>'Income Statement'!G15</f>
        <v>0</v>
      </c>
      <c r="H7" s="36">
        <f>'Income Statement'!H15</f>
        <v>0</v>
      </c>
      <c r="I7" s="36">
        <f>'Income Statement'!I15</f>
        <v>0</v>
      </c>
      <c r="J7" s="36">
        <f>'Income Statement'!J15</f>
        <v>0</v>
      </c>
    </row>
    <row r="8" spans="2:10" ht="15.75" customHeight="1" x14ac:dyDescent="0.2">
      <c r="B8" s="14" t="s">
        <v>166</v>
      </c>
      <c r="C8" s="36">
        <f>IF(ISNUMBER(Inputs!C19),Inputs!C19,0)</f>
        <v>0</v>
      </c>
      <c r="D8" s="36">
        <f>IF(ISNUMBER(Inputs!D19),Inputs!D19,0)</f>
        <v>0</v>
      </c>
      <c r="E8" s="36">
        <f>IF(ISNUMBER(Inputs!E19),Inputs!E19,0)</f>
        <v>0</v>
      </c>
      <c r="F8" s="36">
        <f>IF(ISNUMBER(Inputs!F19),Inputs!F19,0)</f>
        <v>0</v>
      </c>
      <c r="G8" s="36">
        <f>IF(ISNUMBER(Inputs!G19),Inputs!G19,0)</f>
        <v>0</v>
      </c>
      <c r="H8" s="36">
        <f>IF(ISNUMBER(Inputs!H19),Inputs!H19,0)</f>
        <v>0</v>
      </c>
      <c r="I8" s="36">
        <f>IF(ISNUMBER(Inputs!I19),Inputs!I19,0)</f>
        <v>0</v>
      </c>
      <c r="J8" s="36">
        <f>IF(ISNUMBER(Inputs!J19),Inputs!J19,0)</f>
        <v>0</v>
      </c>
    </row>
    <row r="9" spans="2:10" ht="15.75" customHeight="1" x14ac:dyDescent="0.2">
      <c r="B9" s="45" t="s">
        <v>167</v>
      </c>
      <c r="C9" s="36">
        <f>IF(ISNUMBER(Inputs!C20),Inputs!C20,0)</f>
        <v>0</v>
      </c>
      <c r="D9" s="36">
        <f>IF(ISNUMBER(Inputs!D20),Inputs!D20,0)</f>
        <v>0</v>
      </c>
      <c r="E9" s="36">
        <f>IF(ISNUMBER(Inputs!E20),Inputs!E20,0)</f>
        <v>0</v>
      </c>
      <c r="F9" s="36">
        <f>IF(ISNUMBER(Inputs!F20),Inputs!F20,0)</f>
        <v>0</v>
      </c>
      <c r="G9" s="36">
        <f>IF(ISNUMBER(Inputs!G20),Inputs!G20,0)</f>
        <v>0</v>
      </c>
      <c r="H9" s="36">
        <f>IF(ISNUMBER(Inputs!H20),Inputs!H20,0)</f>
        <v>0</v>
      </c>
      <c r="I9" s="36">
        <f>IF(ISNUMBER(Inputs!I20),Inputs!I20,0)</f>
        <v>0</v>
      </c>
      <c r="J9" s="36">
        <f>IF(ISNUMBER(Inputs!J20),Inputs!J20,0)</f>
        <v>0</v>
      </c>
    </row>
    <row r="10" spans="2:10" ht="15.75" customHeight="1" x14ac:dyDescent="0.2">
      <c r="B10" s="34" t="s">
        <v>168</v>
      </c>
      <c r="C10" s="34"/>
      <c r="D10" s="34"/>
      <c r="E10" s="34"/>
      <c r="F10" s="34"/>
      <c r="G10" s="34"/>
      <c r="H10" s="34"/>
      <c r="I10" s="34"/>
      <c r="J10" s="34"/>
    </row>
    <row r="11" spans="2:10" ht="15.75" customHeight="1" x14ac:dyDescent="0.2">
      <c r="B11" s="45" t="s">
        <v>169</v>
      </c>
      <c r="C11" s="36">
        <f>0</f>
        <v>0</v>
      </c>
      <c r="D11" s="36">
        <f>-('Balance Sheet'!D7-'Balance Sheet'!C7)</f>
        <v>0</v>
      </c>
      <c r="E11" s="36">
        <f>-('Balance Sheet'!E7-'Balance Sheet'!D7)</f>
        <v>0</v>
      </c>
      <c r="F11" s="36">
        <f>-('Balance Sheet'!F7-'Balance Sheet'!E7)</f>
        <v>0</v>
      </c>
      <c r="G11" s="36">
        <f>-('Balance Sheet'!G7-'Balance Sheet'!F7)</f>
        <v>0</v>
      </c>
      <c r="H11" s="36">
        <f>-('Balance Sheet'!H7-'Balance Sheet'!G7)</f>
        <v>0</v>
      </c>
      <c r="I11" s="36">
        <f>-('Balance Sheet'!I7-'Balance Sheet'!H7)</f>
        <v>0</v>
      </c>
      <c r="J11" s="36">
        <f>-('Balance Sheet'!J7-'Balance Sheet'!I7)</f>
        <v>0</v>
      </c>
    </row>
    <row r="12" spans="2:10" ht="15.75" customHeight="1" x14ac:dyDescent="0.2">
      <c r="B12" s="14" t="s">
        <v>170</v>
      </c>
      <c r="C12" s="36">
        <f>0</f>
        <v>0</v>
      </c>
      <c r="D12" s="36">
        <f>-('Balance Sheet'!D9-'Balance Sheet'!C9)</f>
        <v>0</v>
      </c>
      <c r="E12" s="36">
        <f>-('Balance Sheet'!E9-'Balance Sheet'!D9)</f>
        <v>0</v>
      </c>
      <c r="F12" s="36">
        <f>-('Balance Sheet'!F9-'Balance Sheet'!E9)</f>
        <v>0</v>
      </c>
      <c r="G12" s="36">
        <f>-('Balance Sheet'!G9-'Balance Sheet'!F9)</f>
        <v>0</v>
      </c>
      <c r="H12" s="36">
        <f>-('Balance Sheet'!H9-'Balance Sheet'!G9)</f>
        <v>0</v>
      </c>
      <c r="I12" s="36">
        <f>-('Balance Sheet'!I9-'Balance Sheet'!H9)</f>
        <v>0</v>
      </c>
      <c r="J12" s="36">
        <f>-('Balance Sheet'!J9-'Balance Sheet'!I9)</f>
        <v>0</v>
      </c>
    </row>
    <row r="13" spans="2:10" ht="15.75" customHeight="1" x14ac:dyDescent="0.2">
      <c r="B13" s="45" t="s">
        <v>171</v>
      </c>
      <c r="C13" s="36">
        <f>0</f>
        <v>0</v>
      </c>
      <c r="D13" s="36">
        <f>'Balance Sheet'!D23-'Balance Sheet'!C23</f>
        <v>0</v>
      </c>
      <c r="E13" s="36">
        <f>'Balance Sheet'!E23-'Balance Sheet'!D23</f>
        <v>0</v>
      </c>
      <c r="F13" s="36">
        <f>'Balance Sheet'!F23-'Balance Sheet'!E23</f>
        <v>0</v>
      </c>
      <c r="G13" s="36">
        <f>'Balance Sheet'!G23-'Balance Sheet'!F23</f>
        <v>0</v>
      </c>
      <c r="H13" s="36">
        <f>'Balance Sheet'!H23-'Balance Sheet'!G23</f>
        <v>0</v>
      </c>
      <c r="I13" s="36">
        <f>'Balance Sheet'!I23-'Balance Sheet'!H23</f>
        <v>0</v>
      </c>
      <c r="J13" s="36">
        <f>'Balance Sheet'!J23-'Balance Sheet'!I23</f>
        <v>0</v>
      </c>
    </row>
    <row r="14" spans="2:10" ht="19.5" customHeight="1" x14ac:dyDescent="0.2">
      <c r="B14" s="46" t="s">
        <v>172</v>
      </c>
      <c r="C14" s="47">
        <f t="shared" ref="C14:J14" si="0">C5+C7+C8+C9+C11+C12+C13</f>
        <v>0</v>
      </c>
      <c r="D14" s="47">
        <f t="shared" si="0"/>
        <v>0</v>
      </c>
      <c r="E14" s="47">
        <f t="shared" si="0"/>
        <v>0</v>
      </c>
      <c r="F14" s="47">
        <f t="shared" si="0"/>
        <v>0</v>
      </c>
      <c r="G14" s="47">
        <f t="shared" si="0"/>
        <v>0</v>
      </c>
      <c r="H14" s="47">
        <f t="shared" si="0"/>
        <v>0</v>
      </c>
      <c r="I14" s="47">
        <f t="shared" si="0"/>
        <v>0</v>
      </c>
      <c r="J14" s="47">
        <f t="shared" si="0"/>
        <v>0</v>
      </c>
    </row>
    <row r="15" spans="2:10" ht="15.75" customHeight="1" x14ac:dyDescent="0.2"/>
    <row r="16" spans="2:10" ht="15.75" customHeight="1" x14ac:dyDescent="0.2">
      <c r="B16" s="34" t="s">
        <v>173</v>
      </c>
      <c r="C16" s="34"/>
      <c r="D16" s="34"/>
      <c r="E16" s="34"/>
      <c r="F16" s="34"/>
      <c r="G16" s="34"/>
      <c r="H16" s="34"/>
      <c r="I16" s="34"/>
      <c r="J16" s="34"/>
    </row>
    <row r="17" spans="2:10" ht="15.75" customHeight="1" x14ac:dyDescent="0.2">
      <c r="B17" s="45" t="s">
        <v>174</v>
      </c>
      <c r="C17" s="36">
        <f>-IF(ISNUMBER(Inputs!C21),Inputs!C21,0)</f>
        <v>0</v>
      </c>
      <c r="D17" s="36">
        <f>-IF(ISNUMBER(Inputs!D21),Inputs!D21,0)</f>
        <v>0</v>
      </c>
      <c r="E17" s="36">
        <f>-IF(ISNUMBER(Inputs!E21),Inputs!E21,0)</f>
        <v>0</v>
      </c>
      <c r="F17" s="36">
        <f>-IF(ISNUMBER(Inputs!F21),Inputs!F21,0)</f>
        <v>0</v>
      </c>
      <c r="G17" s="36">
        <f>-IF(ISNUMBER(Inputs!G21),Inputs!G21,0)</f>
        <v>0</v>
      </c>
      <c r="H17" s="36">
        <f>-IF(ISNUMBER(Inputs!H21),Inputs!H21,0)</f>
        <v>0</v>
      </c>
      <c r="I17" s="36">
        <f>-IF(ISNUMBER(Inputs!I21),Inputs!I21,0)</f>
        <v>0</v>
      </c>
      <c r="J17" s="36">
        <f>-IF(ISNUMBER(Inputs!J21),Inputs!J21,0)</f>
        <v>0</v>
      </c>
    </row>
    <row r="18" spans="2:10" ht="15.75" customHeight="1" x14ac:dyDescent="0.2">
      <c r="B18" s="14" t="s">
        <v>175</v>
      </c>
      <c r="C18" s="36">
        <f>-IF(ISNUMBER(Inputs!C22),Inputs!C22,0)</f>
        <v>0</v>
      </c>
      <c r="D18" s="36">
        <f>-IF(ISNUMBER(Inputs!D22),Inputs!D22,0)</f>
        <v>0</v>
      </c>
      <c r="E18" s="36">
        <f>-IF(ISNUMBER(Inputs!E22),Inputs!E22,0)</f>
        <v>0</v>
      </c>
      <c r="F18" s="36">
        <f>-IF(ISNUMBER(Inputs!F22),Inputs!F22,0)</f>
        <v>0</v>
      </c>
      <c r="G18" s="36">
        <f>-IF(ISNUMBER(Inputs!G22),Inputs!G22,0)</f>
        <v>0</v>
      </c>
      <c r="H18" s="36">
        <f>-IF(ISNUMBER(Inputs!H22),Inputs!H22,0)</f>
        <v>0</v>
      </c>
      <c r="I18" s="36">
        <f>-IF(ISNUMBER(Inputs!I22),Inputs!I22,0)</f>
        <v>0</v>
      </c>
      <c r="J18" s="36">
        <f>-IF(ISNUMBER(Inputs!J22),Inputs!J22,0)</f>
        <v>0</v>
      </c>
    </row>
    <row r="19" spans="2:10" ht="15.75" customHeight="1" x14ac:dyDescent="0.2">
      <c r="B19" s="45" t="s">
        <v>67</v>
      </c>
      <c r="C19" s="36">
        <f>IF(ISNUMBER(Inputs!C23),Inputs!C23,0)</f>
        <v>0</v>
      </c>
      <c r="D19" s="36">
        <f>IF(ISNUMBER(Inputs!D23),Inputs!D23,0)</f>
        <v>0</v>
      </c>
      <c r="E19" s="36">
        <f>IF(ISNUMBER(Inputs!E23),Inputs!E23,0)</f>
        <v>0</v>
      </c>
      <c r="F19" s="36">
        <f>IF(ISNUMBER(Inputs!F23),Inputs!F23,0)</f>
        <v>0</v>
      </c>
      <c r="G19" s="36">
        <f>IF(ISNUMBER(Inputs!G23),Inputs!G23,0)</f>
        <v>0</v>
      </c>
      <c r="H19" s="36">
        <f>IF(ISNUMBER(Inputs!H23),Inputs!H23,0)</f>
        <v>0</v>
      </c>
      <c r="I19" s="36">
        <f>IF(ISNUMBER(Inputs!I23),Inputs!I23,0)</f>
        <v>0</v>
      </c>
      <c r="J19" s="36">
        <f>IF(ISNUMBER(Inputs!J23),Inputs!J23,0)</f>
        <v>0</v>
      </c>
    </row>
    <row r="20" spans="2:10" ht="19.5" customHeight="1" x14ac:dyDescent="0.2">
      <c r="B20" s="41" t="s">
        <v>176</v>
      </c>
      <c r="C20" s="42">
        <f t="shared" ref="C20:J20" si="1">C17+C18+C19</f>
        <v>0</v>
      </c>
      <c r="D20" s="42">
        <f t="shared" si="1"/>
        <v>0</v>
      </c>
      <c r="E20" s="42">
        <f t="shared" si="1"/>
        <v>0</v>
      </c>
      <c r="F20" s="42">
        <f t="shared" si="1"/>
        <v>0</v>
      </c>
      <c r="G20" s="42">
        <f t="shared" si="1"/>
        <v>0</v>
      </c>
      <c r="H20" s="42">
        <f t="shared" si="1"/>
        <v>0</v>
      </c>
      <c r="I20" s="42">
        <f t="shared" si="1"/>
        <v>0</v>
      </c>
      <c r="J20" s="42">
        <f t="shared" si="1"/>
        <v>0</v>
      </c>
    </row>
    <row r="21" spans="2:10" ht="15.75" customHeight="1" x14ac:dyDescent="0.2"/>
    <row r="22" spans="2:10" ht="15.75" customHeight="1" x14ac:dyDescent="0.2">
      <c r="B22" s="34" t="s">
        <v>177</v>
      </c>
      <c r="C22" s="34"/>
      <c r="D22" s="34"/>
      <c r="E22" s="34"/>
      <c r="F22" s="34"/>
      <c r="G22" s="34"/>
      <c r="H22" s="34"/>
      <c r="I22" s="34"/>
      <c r="J22" s="34"/>
    </row>
    <row r="23" spans="2:10" ht="15.75" customHeight="1" x14ac:dyDescent="0.2">
      <c r="B23" s="45" t="s">
        <v>68</v>
      </c>
      <c r="C23" s="36">
        <f>IF(ISNUMBER(Inputs!C24),Inputs!C24,0)</f>
        <v>0</v>
      </c>
      <c r="D23" s="36">
        <f>IF(ISNUMBER(Inputs!D24),Inputs!D24,0)</f>
        <v>0</v>
      </c>
      <c r="E23" s="36">
        <f>IF(ISNUMBER(Inputs!E24),Inputs!E24,0)</f>
        <v>0</v>
      </c>
      <c r="F23" s="36">
        <f>IF(ISNUMBER(Inputs!F24),Inputs!F24,0)</f>
        <v>0</v>
      </c>
      <c r="G23" s="36">
        <f>IF(ISNUMBER(Inputs!G24),Inputs!G24,0)</f>
        <v>0</v>
      </c>
      <c r="H23" s="36">
        <f>IF(ISNUMBER(Inputs!H24),Inputs!H24,0)</f>
        <v>0</v>
      </c>
      <c r="I23" s="36">
        <f>IF(ISNUMBER(Inputs!I24),Inputs!I24,0)</f>
        <v>0</v>
      </c>
      <c r="J23" s="36">
        <f>IF(ISNUMBER(Inputs!J24),Inputs!J24,0)</f>
        <v>0</v>
      </c>
    </row>
    <row r="24" spans="2:10" ht="15.75" customHeight="1" x14ac:dyDescent="0.2">
      <c r="B24" s="14" t="s">
        <v>69</v>
      </c>
      <c r="C24" s="36">
        <f>-IF(ISNUMBER(Inputs!C25),Inputs!C25,0)</f>
        <v>0</v>
      </c>
      <c r="D24" s="36">
        <f>-IF(ISNUMBER(Inputs!D25),Inputs!D25,0)</f>
        <v>0</v>
      </c>
      <c r="E24" s="36">
        <f>-IF(ISNUMBER(Inputs!E25),Inputs!E25,0)</f>
        <v>0</v>
      </c>
      <c r="F24" s="36">
        <f>-IF(ISNUMBER(Inputs!F25),Inputs!F25,0)</f>
        <v>0</v>
      </c>
      <c r="G24" s="36">
        <f>-IF(ISNUMBER(Inputs!G25),Inputs!G25,0)</f>
        <v>0</v>
      </c>
      <c r="H24" s="36">
        <f>-IF(ISNUMBER(Inputs!H25),Inputs!H25,0)</f>
        <v>0</v>
      </c>
      <c r="I24" s="36">
        <f>-IF(ISNUMBER(Inputs!I25),Inputs!I25,0)</f>
        <v>0</v>
      </c>
      <c r="J24" s="36">
        <f>-IF(ISNUMBER(Inputs!J25),Inputs!J25,0)</f>
        <v>0</v>
      </c>
    </row>
    <row r="25" spans="2:10" ht="15.75" customHeight="1" x14ac:dyDescent="0.2">
      <c r="B25" s="45" t="s">
        <v>70</v>
      </c>
      <c r="C25" s="36">
        <f>-IF(ISNUMBER(Inputs!C26),Inputs!C26,0)</f>
        <v>0</v>
      </c>
      <c r="D25" s="36">
        <f>-IF(ISNUMBER(Inputs!D26),Inputs!D26,0)</f>
        <v>0</v>
      </c>
      <c r="E25" s="36">
        <f>-IF(ISNUMBER(Inputs!E26),Inputs!E26,0)</f>
        <v>0</v>
      </c>
      <c r="F25" s="36">
        <f>-IF(ISNUMBER(Inputs!F26),Inputs!F26,0)</f>
        <v>0</v>
      </c>
      <c r="G25" s="36">
        <f>-IF(ISNUMBER(Inputs!G26),Inputs!G26,0)</f>
        <v>0</v>
      </c>
      <c r="H25" s="36">
        <f>-IF(ISNUMBER(Inputs!H26),Inputs!H26,0)</f>
        <v>0</v>
      </c>
      <c r="I25" s="36">
        <f>-IF(ISNUMBER(Inputs!I26),Inputs!I26,0)</f>
        <v>0</v>
      </c>
      <c r="J25" s="36">
        <f>-IF(ISNUMBER(Inputs!J26),Inputs!J26,0)</f>
        <v>0</v>
      </c>
    </row>
    <row r="26" spans="2:10" ht="15.75" customHeight="1" x14ac:dyDescent="0.2">
      <c r="B26" s="14" t="s">
        <v>71</v>
      </c>
      <c r="C26" s="36">
        <f>IF(ISNUMBER(Inputs!C27),Inputs!C27,0)</f>
        <v>0</v>
      </c>
      <c r="D26" s="36">
        <f>IF(ISNUMBER(Inputs!D27),Inputs!D27,0)</f>
        <v>0</v>
      </c>
      <c r="E26" s="36">
        <f>IF(ISNUMBER(Inputs!E27),Inputs!E27,0)</f>
        <v>0</v>
      </c>
      <c r="F26" s="36">
        <f>IF(ISNUMBER(Inputs!F27),Inputs!F27,0)</f>
        <v>0</v>
      </c>
      <c r="G26" s="36">
        <f>IF(ISNUMBER(Inputs!G27),Inputs!G27,0)</f>
        <v>0</v>
      </c>
      <c r="H26" s="36">
        <f>IF(ISNUMBER(Inputs!H27),Inputs!H27,0)</f>
        <v>0</v>
      </c>
      <c r="I26" s="36">
        <f>IF(ISNUMBER(Inputs!I27),Inputs!I27,0)</f>
        <v>0</v>
      </c>
      <c r="J26" s="36">
        <f>IF(ISNUMBER(Inputs!J27),Inputs!J27,0)</f>
        <v>0</v>
      </c>
    </row>
    <row r="27" spans="2:10" ht="19.5" customHeight="1" x14ac:dyDescent="0.2">
      <c r="B27" s="55" t="s">
        <v>178</v>
      </c>
      <c r="C27" s="56">
        <f t="shared" ref="C27:J27" si="2">C23+C24+C25+C26</f>
        <v>0</v>
      </c>
      <c r="D27" s="56">
        <f t="shared" si="2"/>
        <v>0</v>
      </c>
      <c r="E27" s="56">
        <f t="shared" si="2"/>
        <v>0</v>
      </c>
      <c r="F27" s="56">
        <f t="shared" si="2"/>
        <v>0</v>
      </c>
      <c r="G27" s="56">
        <f t="shared" si="2"/>
        <v>0</v>
      </c>
      <c r="H27" s="56">
        <f t="shared" si="2"/>
        <v>0</v>
      </c>
      <c r="I27" s="56">
        <f t="shared" si="2"/>
        <v>0</v>
      </c>
      <c r="J27" s="56">
        <f t="shared" si="2"/>
        <v>0</v>
      </c>
    </row>
    <row r="28" spans="2:10" ht="15.75" customHeight="1" x14ac:dyDescent="0.2"/>
    <row r="29" spans="2:10" ht="15.75" customHeight="1" x14ac:dyDescent="0.2">
      <c r="B29" s="43" t="s">
        <v>179</v>
      </c>
      <c r="C29" s="43"/>
      <c r="D29" s="43"/>
      <c r="E29" s="43"/>
      <c r="F29" s="43"/>
      <c r="G29" s="43"/>
      <c r="H29" s="43"/>
      <c r="I29" s="43"/>
      <c r="J29" s="43"/>
    </row>
    <row r="30" spans="2:10" ht="15.75" customHeight="1" x14ac:dyDescent="0.2">
      <c r="B30" s="14" t="s">
        <v>180</v>
      </c>
      <c r="C30" s="36">
        <f>'Balance Sheet'!C6</f>
        <v>0</v>
      </c>
      <c r="D30" s="36">
        <f>'Balance Sheet'!C6</f>
        <v>0</v>
      </c>
      <c r="E30" s="36">
        <f>'Balance Sheet'!D6</f>
        <v>0</v>
      </c>
      <c r="F30" s="36">
        <f>'Balance Sheet'!E6</f>
        <v>0</v>
      </c>
      <c r="G30" s="36">
        <f>'Balance Sheet'!F6</f>
        <v>0</v>
      </c>
      <c r="H30" s="36">
        <f>'Balance Sheet'!G6</f>
        <v>0</v>
      </c>
      <c r="I30" s="36">
        <f>'Balance Sheet'!H6</f>
        <v>0</v>
      </c>
      <c r="J30" s="36">
        <f>'Balance Sheet'!I6</f>
        <v>0</v>
      </c>
    </row>
    <row r="31" spans="2:10" ht="18" customHeight="1" x14ac:dyDescent="0.2">
      <c r="B31" s="48" t="s">
        <v>181</v>
      </c>
      <c r="C31" s="49">
        <f t="shared" ref="C31:J31" si="3">C14+C20+C27</f>
        <v>0</v>
      </c>
      <c r="D31" s="49">
        <f t="shared" si="3"/>
        <v>0</v>
      </c>
      <c r="E31" s="49">
        <f t="shared" si="3"/>
        <v>0</v>
      </c>
      <c r="F31" s="49">
        <f t="shared" si="3"/>
        <v>0</v>
      </c>
      <c r="G31" s="49">
        <f t="shared" si="3"/>
        <v>0</v>
      </c>
      <c r="H31" s="49">
        <f t="shared" si="3"/>
        <v>0</v>
      </c>
      <c r="I31" s="49">
        <f t="shared" si="3"/>
        <v>0</v>
      </c>
      <c r="J31" s="49">
        <f t="shared" si="3"/>
        <v>0</v>
      </c>
    </row>
    <row r="32" spans="2:10" ht="19.5" customHeight="1" x14ac:dyDescent="0.2">
      <c r="B32" s="46" t="s">
        <v>182</v>
      </c>
      <c r="C32" s="47">
        <f t="shared" ref="C32:J32" si="4">C30+C31</f>
        <v>0</v>
      </c>
      <c r="D32" s="47">
        <f t="shared" si="4"/>
        <v>0</v>
      </c>
      <c r="E32" s="47">
        <f t="shared" si="4"/>
        <v>0</v>
      </c>
      <c r="F32" s="47">
        <f t="shared" si="4"/>
        <v>0</v>
      </c>
      <c r="G32" s="47">
        <f t="shared" si="4"/>
        <v>0</v>
      </c>
      <c r="H32" s="47">
        <f t="shared" si="4"/>
        <v>0</v>
      </c>
      <c r="I32" s="47">
        <f t="shared" si="4"/>
        <v>0</v>
      </c>
      <c r="J32" s="47">
        <f t="shared" si="4"/>
        <v>0</v>
      </c>
    </row>
    <row r="33" spans="2:10" ht="18" customHeight="1" x14ac:dyDescent="0.2">
      <c r="B33" s="41" t="s">
        <v>183</v>
      </c>
      <c r="C33" s="42">
        <f t="shared" ref="C33:J33" si="5">C14+C17</f>
        <v>0</v>
      </c>
      <c r="D33" s="42">
        <f t="shared" si="5"/>
        <v>0</v>
      </c>
      <c r="E33" s="42">
        <f t="shared" si="5"/>
        <v>0</v>
      </c>
      <c r="F33" s="42">
        <f t="shared" si="5"/>
        <v>0</v>
      </c>
      <c r="G33" s="42">
        <f t="shared" si="5"/>
        <v>0</v>
      </c>
      <c r="H33" s="42">
        <f t="shared" si="5"/>
        <v>0</v>
      </c>
      <c r="I33" s="42">
        <f t="shared" si="5"/>
        <v>0</v>
      </c>
      <c r="J33" s="42">
        <f t="shared" si="5"/>
        <v>0</v>
      </c>
    </row>
    <row r="34" spans="2:10" ht="15.75" customHeight="1" x14ac:dyDescent="0.2">
      <c r="B34" s="37" t="s">
        <v>184</v>
      </c>
      <c r="C34" s="38" t="str">
        <f>IFERROR(C33/'Income Statement'!C5,"-")</f>
        <v>-</v>
      </c>
      <c r="D34" s="38" t="str">
        <f>IFERROR(D33/'Income Statement'!D5,"-")</f>
        <v>-</v>
      </c>
      <c r="E34" s="38" t="str">
        <f>IFERROR(E33/'Income Statement'!E5,"-")</f>
        <v>-</v>
      </c>
      <c r="F34" s="38" t="str">
        <f>IFERROR(F33/'Income Statement'!F5,"-")</f>
        <v>-</v>
      </c>
      <c r="G34" s="38" t="str">
        <f>IFERROR(G33/'Income Statement'!G5,"-")</f>
        <v>-</v>
      </c>
      <c r="H34" s="38" t="str">
        <f>IFERROR(H33/'Income Statement'!H5,"-")</f>
        <v>-</v>
      </c>
      <c r="I34" s="38" t="str">
        <f>IFERROR(I33/'Income Statement'!I5,"-")</f>
        <v>-</v>
      </c>
      <c r="J34" s="38" t="str">
        <f>IFERROR(J33/'Income Statement'!J5,"-")</f>
        <v>-</v>
      </c>
    </row>
  </sheetData>
  <mergeCells count="7">
    <mergeCell ref="B16:J16"/>
    <mergeCell ref="B22:J22"/>
    <mergeCell ref="B29:J29"/>
    <mergeCell ref="B4:J4"/>
    <mergeCell ref="B6:J6"/>
    <mergeCell ref="B10:J10"/>
    <mergeCell ref="B1:I1"/>
  </mergeCells>
  <hyperlinks>
    <hyperlink ref="J1" location="Cover!A1" display="BACK --&gt;" xr:uid="{95A3F3B2-4B65-4549-98EA-04CD3AB4FC73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6278"/>
  </sheetPr>
  <dimension ref="B1:J40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K2" sqref="K2"/>
    </sheetView>
  </sheetViews>
  <sheetFormatPr defaultColWidth="8.7109375" defaultRowHeight="14.25" x14ac:dyDescent="0.2"/>
  <cols>
    <col min="1" max="1" width="3" style="7" customWidth="1"/>
    <col min="2" max="2" width="36" style="7" customWidth="1"/>
    <col min="3" max="10" width="14" style="7" customWidth="1"/>
    <col min="11" max="16384" width="8.7109375" style="7"/>
  </cols>
  <sheetData>
    <row r="1" spans="2:10" ht="31.5" customHeight="1" x14ac:dyDescent="0.2">
      <c r="B1" s="6" t="s">
        <v>223</v>
      </c>
      <c r="C1" s="6"/>
      <c r="D1" s="6"/>
      <c r="E1" s="6"/>
      <c r="F1" s="6"/>
      <c r="G1" s="6"/>
      <c r="H1" s="6"/>
      <c r="I1" s="6"/>
      <c r="J1" s="63" t="s">
        <v>219</v>
      </c>
    </row>
    <row r="2" spans="2:10" ht="15.75" customHeight="1" x14ac:dyDescent="0.2"/>
    <row r="3" spans="2:10" ht="27.75" customHeight="1" x14ac:dyDescent="0.2">
      <c r="B3" s="31" t="s">
        <v>185</v>
      </c>
      <c r="C3" s="32" t="s">
        <v>106</v>
      </c>
      <c r="D3" s="32" t="s">
        <v>107</v>
      </c>
      <c r="E3" s="32" t="s">
        <v>108</v>
      </c>
      <c r="F3" s="33" t="s">
        <v>109</v>
      </c>
      <c r="G3" s="33" t="s">
        <v>110</v>
      </c>
      <c r="H3" s="33" t="s">
        <v>111</v>
      </c>
      <c r="I3" s="33" t="s">
        <v>112</v>
      </c>
      <c r="J3" s="33" t="s">
        <v>113</v>
      </c>
    </row>
    <row r="4" spans="2:10" ht="15.75" customHeight="1" x14ac:dyDescent="0.2">
      <c r="B4" s="34" t="s">
        <v>186</v>
      </c>
      <c r="C4" s="34"/>
      <c r="D4" s="34"/>
      <c r="E4" s="34"/>
      <c r="F4" s="34"/>
      <c r="G4" s="34"/>
      <c r="H4" s="34"/>
      <c r="I4" s="34"/>
      <c r="J4" s="34"/>
    </row>
    <row r="5" spans="2:10" ht="15.75" customHeight="1" x14ac:dyDescent="0.2">
      <c r="B5" s="45" t="s">
        <v>187</v>
      </c>
      <c r="C5" s="36">
        <f>'Balance Sheet'!C13</f>
        <v>0</v>
      </c>
      <c r="D5" s="36">
        <f>'Balance Sheet'!D13</f>
        <v>0</v>
      </c>
      <c r="E5" s="36">
        <f>'Balance Sheet'!E13</f>
        <v>0</v>
      </c>
      <c r="F5" s="36">
        <f>'Balance Sheet'!F13</f>
        <v>0</v>
      </c>
      <c r="G5" s="36">
        <f>'Balance Sheet'!G13</f>
        <v>0</v>
      </c>
      <c r="H5" s="36">
        <f>'Balance Sheet'!H13</f>
        <v>0</v>
      </c>
      <c r="I5" s="36">
        <f>'Balance Sheet'!I13</f>
        <v>0</v>
      </c>
      <c r="J5" s="36">
        <f>'Balance Sheet'!J13</f>
        <v>0</v>
      </c>
    </row>
    <row r="6" spans="2:10" ht="15.75" customHeight="1" x14ac:dyDescent="0.2">
      <c r="B6" s="14" t="s">
        <v>188</v>
      </c>
      <c r="C6" s="36">
        <f>-('Cash Flow Statement'!C17)</f>
        <v>0</v>
      </c>
      <c r="D6" s="36">
        <f>-('Cash Flow Statement'!D17)</f>
        <v>0</v>
      </c>
      <c r="E6" s="36">
        <f>-('Cash Flow Statement'!E17)</f>
        <v>0</v>
      </c>
      <c r="F6" s="36">
        <f>-('Cash Flow Statement'!F17)</f>
        <v>0</v>
      </c>
      <c r="G6" s="36">
        <f>-('Cash Flow Statement'!G17)</f>
        <v>0</v>
      </c>
      <c r="H6" s="36">
        <f>-('Cash Flow Statement'!H17)</f>
        <v>0</v>
      </c>
      <c r="I6" s="36">
        <f>-('Cash Flow Statement'!I17)</f>
        <v>0</v>
      </c>
      <c r="J6" s="36">
        <f>-('Cash Flow Statement'!J17)</f>
        <v>0</v>
      </c>
    </row>
    <row r="7" spans="2:10" ht="15.75" customHeight="1" x14ac:dyDescent="0.2">
      <c r="B7" s="45" t="s">
        <v>189</v>
      </c>
      <c r="C7" s="36"/>
      <c r="D7" s="36"/>
      <c r="E7" s="36"/>
      <c r="F7" s="36"/>
      <c r="G7" s="36"/>
      <c r="H7" s="36"/>
      <c r="I7" s="36"/>
      <c r="J7" s="36"/>
    </row>
    <row r="8" spans="2:10" ht="15.75" customHeight="1" x14ac:dyDescent="0.2">
      <c r="B8" s="14" t="s">
        <v>190</v>
      </c>
      <c r="C8" s="36"/>
      <c r="D8" s="36"/>
      <c r="E8" s="36"/>
      <c r="F8" s="36"/>
      <c r="G8" s="36"/>
      <c r="H8" s="36"/>
      <c r="I8" s="36"/>
      <c r="J8" s="36"/>
    </row>
    <row r="9" spans="2:10" ht="15.75" customHeight="1" x14ac:dyDescent="0.2">
      <c r="B9" s="45" t="s">
        <v>191</v>
      </c>
      <c r="C9" s="36">
        <f>'Balance Sheet'!C14</f>
        <v>0</v>
      </c>
      <c r="D9" s="36">
        <f>'Balance Sheet'!D14</f>
        <v>0</v>
      </c>
      <c r="E9" s="36">
        <f>'Balance Sheet'!E14</f>
        <v>0</v>
      </c>
      <c r="F9" s="36">
        <f>'Balance Sheet'!F14</f>
        <v>0</v>
      </c>
      <c r="G9" s="36">
        <f>'Balance Sheet'!G14</f>
        <v>0</v>
      </c>
      <c r="H9" s="36">
        <f>'Balance Sheet'!H14</f>
        <v>0</v>
      </c>
      <c r="I9" s="36">
        <f>'Balance Sheet'!I14</f>
        <v>0</v>
      </c>
      <c r="J9" s="36">
        <f>'Balance Sheet'!J14</f>
        <v>0</v>
      </c>
    </row>
    <row r="10" spans="2:10" ht="15.75" customHeight="1" x14ac:dyDescent="0.2">
      <c r="B10" s="14" t="s">
        <v>192</v>
      </c>
      <c r="C10" s="36">
        <f>'Income Statement'!C15</f>
        <v>0</v>
      </c>
      <c r="D10" s="36">
        <f>'Income Statement'!D15</f>
        <v>0</v>
      </c>
      <c r="E10" s="36">
        <f>'Income Statement'!E15</f>
        <v>0</v>
      </c>
      <c r="F10" s="36">
        <f>'Income Statement'!F15</f>
        <v>0</v>
      </c>
      <c r="G10" s="36">
        <f>'Income Statement'!G15</f>
        <v>0</v>
      </c>
      <c r="H10" s="36">
        <f>'Income Statement'!H15</f>
        <v>0</v>
      </c>
      <c r="I10" s="36">
        <f>'Income Statement'!I15</f>
        <v>0</v>
      </c>
      <c r="J10" s="36">
        <f>'Income Statement'!J15</f>
        <v>0</v>
      </c>
    </row>
    <row r="11" spans="2:10" ht="15.75" customHeight="1" x14ac:dyDescent="0.2">
      <c r="B11" s="45" t="s">
        <v>193</v>
      </c>
      <c r="C11" s="36"/>
      <c r="D11" s="36"/>
      <c r="E11" s="36"/>
      <c r="F11" s="36"/>
      <c r="G11" s="36"/>
      <c r="H11" s="36"/>
      <c r="I11" s="36"/>
      <c r="J11" s="36"/>
    </row>
    <row r="12" spans="2:10" ht="15.75" customHeight="1" x14ac:dyDescent="0.2">
      <c r="B12" s="14" t="s">
        <v>194</v>
      </c>
      <c r="C12" s="36"/>
      <c r="D12" s="36"/>
      <c r="E12" s="36"/>
      <c r="F12" s="36"/>
      <c r="G12" s="36"/>
      <c r="H12" s="36"/>
      <c r="I12" s="36"/>
      <c r="J12" s="36"/>
    </row>
    <row r="13" spans="2:10" ht="15.75" customHeight="1" x14ac:dyDescent="0.2">
      <c r="B13" s="45" t="s">
        <v>195</v>
      </c>
      <c r="C13" s="36">
        <f>'Balance Sheet'!C15</f>
        <v>0</v>
      </c>
      <c r="D13" s="36">
        <f>'Balance Sheet'!D15</f>
        <v>0</v>
      </c>
      <c r="E13" s="36">
        <f>'Balance Sheet'!E15</f>
        <v>0</v>
      </c>
      <c r="F13" s="36">
        <f>'Balance Sheet'!F15</f>
        <v>0</v>
      </c>
      <c r="G13" s="36">
        <f>'Balance Sheet'!G15</f>
        <v>0</v>
      </c>
      <c r="H13" s="36">
        <f>'Balance Sheet'!H15</f>
        <v>0</v>
      </c>
      <c r="I13" s="36">
        <f>'Balance Sheet'!I15</f>
        <v>0</v>
      </c>
      <c r="J13" s="36">
        <f>'Balance Sheet'!J15</f>
        <v>0</v>
      </c>
    </row>
    <row r="14" spans="2:10" ht="15.75" customHeight="1" x14ac:dyDescent="0.2"/>
    <row r="15" spans="2:10" ht="15.75" customHeight="1" x14ac:dyDescent="0.2">
      <c r="B15" s="34" t="s">
        <v>196</v>
      </c>
      <c r="C15" s="34"/>
      <c r="D15" s="34"/>
      <c r="E15" s="34"/>
      <c r="F15" s="34"/>
      <c r="G15" s="34"/>
      <c r="H15" s="34"/>
      <c r="I15" s="34"/>
      <c r="J15" s="34"/>
    </row>
    <row r="16" spans="2:10" ht="15.75" customHeight="1" x14ac:dyDescent="0.2">
      <c r="B16" s="14" t="s">
        <v>197</v>
      </c>
      <c r="C16" s="15"/>
      <c r="D16" s="15"/>
      <c r="E16" s="15"/>
      <c r="F16" s="15"/>
      <c r="G16" s="15"/>
      <c r="H16" s="15"/>
      <c r="I16" s="15"/>
      <c r="J16" s="15"/>
    </row>
    <row r="17" spans="2:10" ht="15.75" customHeight="1" x14ac:dyDescent="0.2">
      <c r="B17" s="45" t="s">
        <v>198</v>
      </c>
      <c r="C17" s="57"/>
      <c r="D17" s="57"/>
      <c r="E17" s="57"/>
      <c r="F17" s="57"/>
      <c r="G17" s="57"/>
      <c r="H17" s="57"/>
      <c r="I17" s="57"/>
      <c r="J17" s="57"/>
    </row>
    <row r="18" spans="2:10" ht="15.75" customHeight="1" x14ac:dyDescent="0.2">
      <c r="B18" s="14" t="s">
        <v>199</v>
      </c>
      <c r="C18" s="15"/>
      <c r="D18" s="15"/>
      <c r="E18" s="15"/>
      <c r="F18" s="15"/>
      <c r="G18" s="15"/>
      <c r="H18" s="15"/>
      <c r="I18" s="15"/>
      <c r="J18" s="15"/>
    </row>
    <row r="19" spans="2:10" ht="15.75" customHeight="1" x14ac:dyDescent="0.2">
      <c r="B19" s="45" t="s">
        <v>200</v>
      </c>
      <c r="C19" s="57"/>
      <c r="D19" s="57"/>
      <c r="E19" s="57"/>
      <c r="F19" s="57"/>
      <c r="G19" s="57"/>
      <c r="H19" s="57"/>
      <c r="I19" s="57"/>
      <c r="J19" s="57"/>
    </row>
    <row r="20" spans="2:10" ht="15.75" customHeight="1" x14ac:dyDescent="0.2">
      <c r="B20" s="14" t="s">
        <v>201</v>
      </c>
      <c r="C20" s="15"/>
      <c r="D20" s="15"/>
      <c r="E20" s="15"/>
      <c r="F20" s="15"/>
      <c r="G20" s="15"/>
      <c r="H20" s="15"/>
      <c r="I20" s="15"/>
      <c r="J20" s="15"/>
    </row>
    <row r="21" spans="2:10" ht="15.75" customHeight="1" x14ac:dyDescent="0.2">
      <c r="B21" s="45" t="s">
        <v>202</v>
      </c>
      <c r="C21" s="57"/>
      <c r="D21" s="57"/>
      <c r="E21" s="57"/>
      <c r="F21" s="57"/>
      <c r="G21" s="57"/>
      <c r="H21" s="57"/>
      <c r="I21" s="57"/>
      <c r="J21" s="57"/>
    </row>
    <row r="22" spans="2:10" ht="15.75" customHeight="1" x14ac:dyDescent="0.2">
      <c r="B22" s="14" t="s">
        <v>203</v>
      </c>
      <c r="C22" s="15"/>
      <c r="D22" s="15"/>
      <c r="E22" s="15"/>
      <c r="F22" s="15"/>
      <c r="G22" s="15"/>
      <c r="H22" s="15"/>
      <c r="I22" s="15"/>
      <c r="J22" s="15"/>
    </row>
    <row r="23" spans="2:10" ht="15.75" customHeight="1" x14ac:dyDescent="0.2">
      <c r="B23" s="58" t="s">
        <v>204</v>
      </c>
      <c r="C23" s="57"/>
      <c r="D23" s="57"/>
      <c r="E23" s="57"/>
      <c r="F23" s="57"/>
      <c r="G23" s="57"/>
      <c r="H23" s="57"/>
      <c r="I23" s="57"/>
      <c r="J23" s="57"/>
    </row>
    <row r="24" spans="2:10" ht="15.75" customHeight="1" x14ac:dyDescent="0.2">
      <c r="B24" s="14" t="s">
        <v>205</v>
      </c>
      <c r="C24" s="15"/>
      <c r="D24" s="15"/>
      <c r="E24" s="15"/>
      <c r="F24" s="15"/>
      <c r="G24" s="15"/>
      <c r="H24" s="15"/>
      <c r="I24" s="15"/>
      <c r="J24" s="15"/>
    </row>
    <row r="25" spans="2:10" ht="15.75" customHeight="1" x14ac:dyDescent="0.2">
      <c r="B25" s="58" t="s">
        <v>206</v>
      </c>
      <c r="C25" s="57"/>
      <c r="D25" s="57"/>
      <c r="E25" s="57"/>
      <c r="F25" s="57"/>
      <c r="G25" s="57"/>
      <c r="H25" s="57"/>
      <c r="I25" s="57"/>
      <c r="J25" s="57"/>
    </row>
    <row r="26" spans="2:10" ht="15.75" customHeight="1" x14ac:dyDescent="0.2">
      <c r="B26" s="14" t="s">
        <v>207</v>
      </c>
      <c r="C26" s="15"/>
      <c r="D26" s="15"/>
      <c r="E26" s="15"/>
      <c r="F26" s="15"/>
      <c r="G26" s="15"/>
      <c r="H26" s="15"/>
      <c r="I26" s="15"/>
      <c r="J26" s="15"/>
    </row>
    <row r="27" spans="2:10" ht="15.75" customHeight="1" x14ac:dyDescent="0.2">
      <c r="B27" s="58" t="s">
        <v>208</v>
      </c>
      <c r="C27" s="59"/>
      <c r="D27" s="59"/>
      <c r="E27" s="59"/>
      <c r="F27" s="59"/>
      <c r="G27" s="59"/>
      <c r="H27" s="59"/>
      <c r="I27" s="59"/>
      <c r="J27" s="59"/>
    </row>
    <row r="28" spans="2:10" ht="15.75" customHeight="1" x14ac:dyDescent="0.2"/>
    <row r="29" spans="2:10" ht="15.75" customHeight="1" x14ac:dyDescent="0.2">
      <c r="B29" s="34" t="s">
        <v>209</v>
      </c>
      <c r="C29" s="34"/>
      <c r="D29" s="34"/>
      <c r="E29" s="34"/>
      <c r="F29" s="34"/>
      <c r="G29" s="34"/>
      <c r="H29" s="34"/>
      <c r="I29" s="34"/>
      <c r="J29" s="34"/>
    </row>
    <row r="30" spans="2:10" ht="15.75" customHeight="1" x14ac:dyDescent="0.2">
      <c r="B30" s="14" t="s">
        <v>210</v>
      </c>
      <c r="C30" s="15">
        <f>'Balance Sheet'!C7-'Balance Sheet'!C8</f>
        <v>0</v>
      </c>
      <c r="D30" s="15">
        <f>'Balance Sheet'!D7-'Balance Sheet'!D8</f>
        <v>0</v>
      </c>
      <c r="E30" s="15">
        <f>'Balance Sheet'!E7-'Balance Sheet'!E8</f>
        <v>0</v>
      </c>
      <c r="F30" s="15">
        <f>'Balance Sheet'!F7-'Balance Sheet'!F8</f>
        <v>0</v>
      </c>
      <c r="G30" s="15">
        <f>'Balance Sheet'!G7-'Balance Sheet'!G8</f>
        <v>0</v>
      </c>
      <c r="H30" s="15">
        <f>'Balance Sheet'!H7-'Balance Sheet'!H8</f>
        <v>0</v>
      </c>
      <c r="I30" s="15">
        <f>'Balance Sheet'!I7-'Balance Sheet'!I8</f>
        <v>0</v>
      </c>
      <c r="J30" s="15">
        <f>'Balance Sheet'!J7-'Balance Sheet'!J8</f>
        <v>0</v>
      </c>
    </row>
    <row r="31" spans="2:10" ht="15.75" customHeight="1" x14ac:dyDescent="0.2">
      <c r="B31" s="45" t="s">
        <v>42</v>
      </c>
      <c r="C31" s="57">
        <f>'Balance Sheet'!C9</f>
        <v>0</v>
      </c>
      <c r="D31" s="57">
        <f>'Balance Sheet'!D9</f>
        <v>0</v>
      </c>
      <c r="E31" s="57">
        <f>'Balance Sheet'!E9</f>
        <v>0</v>
      </c>
      <c r="F31" s="57">
        <f>'Balance Sheet'!F9</f>
        <v>0</v>
      </c>
      <c r="G31" s="57">
        <f>'Balance Sheet'!G9</f>
        <v>0</v>
      </c>
      <c r="H31" s="57">
        <f>'Balance Sheet'!H9</f>
        <v>0</v>
      </c>
      <c r="I31" s="57">
        <f>'Balance Sheet'!I9</f>
        <v>0</v>
      </c>
      <c r="J31" s="57">
        <f>'Balance Sheet'!J9</f>
        <v>0</v>
      </c>
    </row>
    <row r="32" spans="2:10" ht="15.75" customHeight="1" x14ac:dyDescent="0.2">
      <c r="B32" s="14" t="s">
        <v>211</v>
      </c>
      <c r="C32" s="15">
        <f>'Balance Sheet'!C10</f>
        <v>0</v>
      </c>
      <c r="D32" s="15">
        <f>'Balance Sheet'!D10</f>
        <v>0</v>
      </c>
      <c r="E32" s="15">
        <f>'Balance Sheet'!E10</f>
        <v>0</v>
      </c>
      <c r="F32" s="15">
        <f>'Balance Sheet'!F10</f>
        <v>0</v>
      </c>
      <c r="G32" s="15">
        <f>'Balance Sheet'!G10</f>
        <v>0</v>
      </c>
      <c r="H32" s="15">
        <f>'Balance Sheet'!H10</f>
        <v>0</v>
      </c>
      <c r="I32" s="15">
        <f>'Balance Sheet'!I10</f>
        <v>0</v>
      </c>
      <c r="J32" s="15">
        <f>'Balance Sheet'!J10</f>
        <v>0</v>
      </c>
    </row>
    <row r="33" spans="2:10" ht="15.75" customHeight="1" x14ac:dyDescent="0.2">
      <c r="B33" s="45" t="s">
        <v>50</v>
      </c>
      <c r="C33" s="57">
        <f>'Balance Sheet'!C23</f>
        <v>0</v>
      </c>
      <c r="D33" s="57">
        <f>'Balance Sheet'!D23</f>
        <v>0</v>
      </c>
      <c r="E33" s="57">
        <f>'Balance Sheet'!E23</f>
        <v>0</v>
      </c>
      <c r="F33" s="57">
        <f>'Balance Sheet'!F23</f>
        <v>0</v>
      </c>
      <c r="G33" s="57">
        <f>'Balance Sheet'!G23</f>
        <v>0</v>
      </c>
      <c r="H33" s="57">
        <f>'Balance Sheet'!H23</f>
        <v>0</v>
      </c>
      <c r="I33" s="57">
        <f>'Balance Sheet'!I23</f>
        <v>0</v>
      </c>
      <c r="J33" s="57">
        <f>'Balance Sheet'!J23</f>
        <v>0</v>
      </c>
    </row>
    <row r="34" spans="2:10" ht="15.75" customHeight="1" x14ac:dyDescent="0.2">
      <c r="B34" s="14" t="s">
        <v>51</v>
      </c>
      <c r="C34" s="15">
        <f>'Balance Sheet'!C24</f>
        <v>0</v>
      </c>
      <c r="D34" s="15">
        <f>'Balance Sheet'!D24</f>
        <v>0</v>
      </c>
      <c r="E34" s="15">
        <f>'Balance Sheet'!E24</f>
        <v>0</v>
      </c>
      <c r="F34" s="15">
        <f>'Balance Sheet'!F24</f>
        <v>0</v>
      </c>
      <c r="G34" s="15">
        <f>'Balance Sheet'!G24</f>
        <v>0</v>
      </c>
      <c r="H34" s="15">
        <f>'Balance Sheet'!H24</f>
        <v>0</v>
      </c>
      <c r="I34" s="15">
        <f>'Balance Sheet'!I24</f>
        <v>0</v>
      </c>
      <c r="J34" s="15">
        <f>'Balance Sheet'!J24</f>
        <v>0</v>
      </c>
    </row>
    <row r="35" spans="2:10" ht="15.75" customHeight="1" x14ac:dyDescent="0.2">
      <c r="B35" s="45" t="s">
        <v>212</v>
      </c>
      <c r="C35" s="57">
        <f>'Balance Sheet'!C26</f>
        <v>0</v>
      </c>
      <c r="D35" s="57">
        <f>'Balance Sheet'!D26</f>
        <v>0</v>
      </c>
      <c r="E35" s="57">
        <f>'Balance Sheet'!E26</f>
        <v>0</v>
      </c>
      <c r="F35" s="57">
        <f>'Balance Sheet'!F26</f>
        <v>0</v>
      </c>
      <c r="G35" s="57">
        <f>'Balance Sheet'!G26</f>
        <v>0</v>
      </c>
      <c r="H35" s="57">
        <f>'Balance Sheet'!H26</f>
        <v>0</v>
      </c>
      <c r="I35" s="57">
        <f>'Balance Sheet'!I26</f>
        <v>0</v>
      </c>
      <c r="J35" s="57">
        <f>'Balance Sheet'!J26</f>
        <v>0</v>
      </c>
    </row>
    <row r="36" spans="2:10" ht="15.75" customHeight="1" x14ac:dyDescent="0.2">
      <c r="B36" s="35" t="s">
        <v>213</v>
      </c>
      <c r="C36" s="15"/>
      <c r="D36" s="15"/>
      <c r="E36" s="15"/>
      <c r="F36" s="15"/>
      <c r="G36" s="15"/>
      <c r="H36" s="15"/>
      <c r="I36" s="15"/>
      <c r="J36" s="15"/>
    </row>
    <row r="37" spans="2:10" ht="15.75" customHeight="1" x14ac:dyDescent="0.2">
      <c r="B37" s="45" t="s">
        <v>214</v>
      </c>
      <c r="C37" s="57"/>
      <c r="D37" s="57"/>
      <c r="E37" s="57"/>
      <c r="F37" s="57"/>
      <c r="G37" s="57"/>
      <c r="H37" s="57"/>
      <c r="I37" s="57"/>
      <c r="J37" s="57"/>
    </row>
    <row r="38" spans="2:10" ht="15.75" customHeight="1" x14ac:dyDescent="0.2">
      <c r="B38" s="14" t="s">
        <v>215</v>
      </c>
      <c r="C38" s="15"/>
      <c r="D38" s="15"/>
      <c r="E38" s="15"/>
      <c r="F38" s="15"/>
      <c r="G38" s="15"/>
      <c r="H38" s="15"/>
      <c r="I38" s="15"/>
      <c r="J38" s="15"/>
    </row>
    <row r="39" spans="2:10" ht="15.75" customHeight="1" x14ac:dyDescent="0.2">
      <c r="B39" s="45" t="s">
        <v>216</v>
      </c>
      <c r="C39" s="57"/>
      <c r="D39" s="57"/>
      <c r="E39" s="57"/>
      <c r="F39" s="57"/>
      <c r="G39" s="57"/>
      <c r="H39" s="57"/>
      <c r="I39" s="57"/>
      <c r="J39" s="57"/>
    </row>
    <row r="40" spans="2:10" ht="15.75" customHeight="1" x14ac:dyDescent="0.2">
      <c r="B40" s="35" t="s">
        <v>217</v>
      </c>
      <c r="C40" s="15"/>
      <c r="D40" s="15"/>
      <c r="E40" s="15"/>
      <c r="F40" s="15"/>
      <c r="G40" s="15"/>
      <c r="H40" s="15"/>
      <c r="I40" s="15"/>
      <c r="J40" s="15"/>
    </row>
  </sheetData>
  <mergeCells count="4">
    <mergeCell ref="B4:J4"/>
    <mergeCell ref="B15:J15"/>
    <mergeCell ref="B29:J29"/>
    <mergeCell ref="B1:I1"/>
  </mergeCells>
  <hyperlinks>
    <hyperlink ref="J1" location="Cover!A1" display="BACK --&gt;" xr:uid="{2D20EBDE-AF5B-4C57-A812-2283DFB79FD1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</vt:lpstr>
      <vt:lpstr>Assumptions</vt:lpstr>
      <vt:lpstr>Income Statement</vt:lpstr>
      <vt:lpstr>Balance Sheet</vt:lpstr>
      <vt:lpstr>Cash Flow Statement</vt:lpstr>
      <vt:lpstr>Supporting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Pandey</cp:lastModifiedBy>
  <cp:revision>0</cp:revision>
  <dcterms:created xsi:type="dcterms:W3CDTF">2026-05-19T05:29:27Z</dcterms:created>
  <dcterms:modified xsi:type="dcterms:W3CDTF">2026-05-20T08:59:02Z</dcterms:modified>
  <dc:language>en-US</dc:language>
</cp:coreProperties>
</file>
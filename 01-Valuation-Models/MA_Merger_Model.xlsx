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xn Assumptions" sheetId="2" state="visible" r:id="rId4"/>
    <sheet name="Sources &amp; Uses" sheetId="3" state="visible" r:id="rId5"/>
    <sheet name="PPA" sheetId="4" state="visible" r:id="rId6"/>
    <sheet name="Acquiror IS" sheetId="5" state="visible" r:id="rId7"/>
    <sheet name="Target IS" sheetId="6" state="visible" r:id="rId8"/>
    <sheet name="Synergy Schedule" sheetId="7" state="visible" r:id="rId9"/>
    <sheet name="Pro-Forma IS" sheetId="8" state="visible" r:id="rId10"/>
    <sheet name="Pro-Forma BS" sheetId="9" state="visible" r:id="rId11"/>
    <sheet name="Accretion-Dilution" sheetId="10" state="visible" r:id="rId12"/>
    <sheet name="Goodwill &amp; Intangibles" sheetId="11" state="visible" r:id="rId13"/>
    <sheet name="Sensitivity Tabl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<sst xmlns="http://schemas.openxmlformats.org/spreadsheetml/2006/main" count="498" uniqueCount="410">
  <si>
    <t xml:space="preserve">M&amp;A MERGER MODEL</t>
  </si>
  <si>
    <t xml:space="preserve">Industry-Grade  |  Accretion/Dilution  |  Pro-Forma Combined  |  Full Formula Model</t>
  </si>
  <si>
    <t xml:space="preserve">MODEL NAVIGATION</t>
  </si>
  <si>
    <t xml:space="preserve">1</t>
  </si>
  <si>
    <t xml:space="preserve">Txn Assumptions</t>
  </si>
  <si>
    <t xml:space="preserve">2</t>
  </si>
  <si>
    <t xml:space="preserve">Sources &amp; Uses</t>
  </si>
  <si>
    <t xml:space="preserve">3</t>
  </si>
  <si>
    <t xml:space="preserve">PPA</t>
  </si>
  <si>
    <t xml:space="preserve">4</t>
  </si>
  <si>
    <t xml:space="preserve">Acquiror IS</t>
  </si>
  <si>
    <t xml:space="preserve">5</t>
  </si>
  <si>
    <t xml:space="preserve">Target IS</t>
  </si>
  <si>
    <t xml:space="preserve">6</t>
  </si>
  <si>
    <t xml:space="preserve">Pro-Forma IS</t>
  </si>
  <si>
    <t xml:space="preserve">7</t>
  </si>
  <si>
    <t xml:space="preserve">Accretion-Dilution</t>
  </si>
  <si>
    <t xml:space="preserve">8</t>
  </si>
  <si>
    <t xml:space="preserve">Synergy Schedule</t>
  </si>
  <si>
    <t xml:space="preserve">9</t>
  </si>
  <si>
    <t xml:space="preserve">Goodwill &amp; Intangibles</t>
  </si>
  <si>
    <t xml:space="preserve">10</t>
  </si>
  <si>
    <t xml:space="preserve">Sensitivity Tables</t>
  </si>
  <si>
    <t xml:space="preserve">TRANSACTION ASSUMPTIONS  (Yellow = Input Cells)</t>
  </si>
  <si>
    <t xml:space="preserve">ASSUMPTION / INPUT</t>
  </si>
  <si>
    <t xml:space="preserve">FY-1 (LTM)</t>
  </si>
  <si>
    <t xml:space="preserve">FY+1 (Proj.)</t>
  </si>
  <si>
    <t xml:space="preserve">FY+2 (Proj.)</t>
  </si>
  <si>
    <t xml:space="preserve">FY+3 (Proj.)</t>
  </si>
  <si>
    <t xml:space="preserve">FY+4 (Proj.)</t>
  </si>
  <si>
    <t xml:space="preserve">FY+5 (Proj.)</t>
  </si>
  <si>
    <t xml:space="preserve">BACK --&gt;</t>
  </si>
  <si>
    <t xml:space="preserve">DEAL STRUCTURE &amp; OFFER PRICE</t>
  </si>
  <si>
    <t xml:space="preserve">Acquiror Name</t>
  </si>
  <si>
    <t xml:space="preserve">Acquiror Co.</t>
  </si>
  <si>
    <t xml:space="preserve">Target Name</t>
  </si>
  <si>
    <t xml:space="preserve">Target Co.</t>
  </si>
  <si>
    <t xml:space="preserve">Transaction Close Date</t>
  </si>
  <si>
    <t xml:space="preserve">12/31/2025</t>
  </si>
  <si>
    <t xml:space="preserve">Target Share Price – Unaffected ($)</t>
  </si>
  <si>
    <t xml:space="preserve">Acquisition Premium  [KEY INPUT — change this]</t>
  </si>
  <si>
    <t xml:space="preserve">Offer Price per Share ($)  [= Unaffected × (1 + Premium)]</t>
  </si>
  <si>
    <t xml:space="preserve">Target Diluted Shares Outstanding (mm)</t>
  </si>
  <si>
    <t xml:space="preserve">Equity Purchase Price ($mm)</t>
  </si>
  <si>
    <t xml:space="preserve">(+) Target Net Debt Assumed ($mm)</t>
  </si>
  <si>
    <t xml:space="preserve">(-) Cash &amp; Equivalents Acquired ($mm)</t>
  </si>
  <si>
    <t xml:space="preserve">ENTERPRISE VALUE ($mm)</t>
  </si>
  <si>
    <t xml:space="preserve">ENTRY MULTIPLES (IMPLIED)</t>
  </si>
  <si>
    <t xml:space="preserve">Target LTM Revenue ($mm)</t>
  </si>
  <si>
    <t xml:space="preserve">Target LTM EBITDA ($mm)</t>
  </si>
  <si>
    <t xml:space="preserve">Target LTM EBIT ($mm)</t>
  </si>
  <si>
    <t xml:space="preserve">Target LTM Net Income ($mm)</t>
  </si>
  <si>
    <t xml:space="preserve">EV / LTM Revenue (x)</t>
  </si>
  <si>
    <t xml:space="preserve">EV / LTM EBITDA (x)</t>
  </si>
  <si>
    <t xml:space="preserve">EV / LTM EBIT (x)</t>
  </si>
  <si>
    <t xml:space="preserve">P / LTM Net Income (x) [Offer P/E]</t>
  </si>
  <si>
    <t xml:space="preserve">FINANCING MIX</t>
  </si>
  <si>
    <t xml:space="preserve">% Cash Consideration</t>
  </si>
  <si>
    <t xml:space="preserve">% Stock Consideration  [= 1 – Cash %]</t>
  </si>
  <si>
    <t xml:space="preserve">Cash Paid to Target Shareholders ($mm)</t>
  </si>
  <si>
    <t xml:space="preserve">Stock Paid to Target Shareholders ($mm)</t>
  </si>
  <si>
    <t xml:space="preserve">FIX #2 — EXCHANGE RATIO: Dynamic Math (Offer Price ÷ Acquiror Price)</t>
  </si>
  <si>
    <t xml:space="preserve">  Exchange Ratio = Offer Price per Target Share ÷ Acquiror Share Price  |  New Shares = Stock $ Value ÷ Acquiror Price</t>
  </si>
  <si>
    <t xml:space="preserve">Acquiror Current Share Price ($)</t>
  </si>
  <si>
    <t xml:space="preserve">Exchange Ratio  [AUTO = Offer Price ÷ Acquiror Price]</t>
  </si>
  <si>
    <t xml:space="preserve">Stock Consideration Value ($mm)</t>
  </si>
  <si>
    <t xml:space="preserve">New Acquiror Shares Issued (mm)  [= Stock Value ÷ Acquiror Price]</t>
  </si>
  <si>
    <t xml:space="preserve">  Cross-check via Exchange Ratio  [= Target Shares × Ratio]</t>
  </si>
  <si>
    <t xml:space="preserve">Acquiror Shares – Pre-Deal (mm)</t>
  </si>
  <si>
    <t xml:space="preserve">Acquiror Shares – Post-Deal (mm)</t>
  </si>
  <si>
    <t xml:space="preserve">FIX #4 — DEBT FINANCING: Distinct Tranche Rates</t>
  </si>
  <si>
    <t xml:space="preserve">New Term Loan ($mm)</t>
  </si>
  <si>
    <t xml:space="preserve">  Term Loan Interest Rate (%)</t>
  </si>
  <si>
    <t xml:space="preserve">  Term Loan Annual Interest ($mm)</t>
  </si>
  <si>
    <t xml:space="preserve">New Senior Notes ($mm)</t>
  </si>
  <si>
    <t xml:space="preserve">  Senior Notes Coupon Rate (%)</t>
  </si>
  <si>
    <t xml:space="preserve">  Senior Notes Annual Interest ($mm)</t>
  </si>
  <si>
    <t xml:space="preserve">Revolving Credit Facility ($mm)  [← FIX #1: Auto-plug from S&amp;U]</t>
  </si>
  <si>
    <t xml:space="preserve">  Revolver Interest Rate (%)</t>
  </si>
  <si>
    <t xml:space="preserve">  Revolver Annual Interest ($mm)</t>
  </si>
  <si>
    <t xml:space="preserve">TOTAL NEW DEBT ($mm)</t>
  </si>
  <si>
    <t xml:space="preserve">TOTAL ANNUAL INTEREST ON NEW DEBT ($mm)</t>
  </si>
  <si>
    <t xml:space="preserve">  Blended Cost of New Debt (%)</t>
  </si>
  <si>
    <t xml:space="preserve">Income Tax Rate (%) — used in DTL and Pro-Forma IS</t>
  </si>
  <si>
    <t xml:space="preserve">SOURCES &amp; USES  ($mm)  |  FIX #1: Revolver = Auto-Balancing Plug  |  Balance Always = $0.00</t>
  </si>
  <si>
    <t xml:space="preserve">SOURCES OF FUNDS</t>
  </si>
  <si>
    <t xml:space="preserve">AMOUNT ($mm)</t>
  </si>
  <si>
    <t xml:space="preserve">% OF TOTAL</t>
  </si>
  <si>
    <t xml:space="preserve">TYPE</t>
  </si>
  <si>
    <t xml:space="preserve">Cash on Hand – Acquiror</t>
  </si>
  <si>
    <t xml:space="preserve">Hard input</t>
  </si>
  <si>
    <t xml:space="preserve">New Term Loan</t>
  </si>
  <si>
    <t xml:space="preserve">→ Txn Assumptions</t>
  </si>
  <si>
    <t xml:space="preserve">New Senior Notes</t>
  </si>
  <si>
    <t xml:space="preserve">Revolving Credit Facility  ← AUTO-PLUG  (draws to balance S&amp;U)</t>
  </si>
  <si>
    <t xml:space="preserve">AUTO-PLUG ↓</t>
  </si>
  <si>
    <t xml:space="preserve">Stock Consideration (Market Value)</t>
  </si>
  <si>
    <t xml:space="preserve">Rollover Equity</t>
  </si>
  <si>
    <t xml:space="preserve">TOTAL SOURCES</t>
  </si>
  <si>
    <t xml:space="preserve">USES OF FUNDS</t>
  </si>
  <si>
    <t xml:space="preserve">Equity Purchase Price  [DYNAMIC: rises with offer premium]</t>
  </si>
  <si>
    <t xml:space="preserve">→ Txn Assumptions (formula)</t>
  </si>
  <si>
    <t xml:space="preserve">Repay Target's Existing Debt (Change of Control)</t>
  </si>
  <si>
    <t xml:space="preserve">Financing Fees &amp; OID  [CAPITALIZED → amortized; added to BS as asset offset]</t>
  </si>
  <si>
    <t xml:space="preserve">Formula (2% × debt)</t>
  </si>
  <si>
    <t xml:space="preserve">M&amp;A Advisory &amp; Legal Fees  [EXPENSED → hits Retained Earnings Day 1, not capitalized]</t>
  </si>
  <si>
    <t xml:space="preserve">Other Transaction Costs  [EXPENSED → hits Retained Earnings Day 1]</t>
  </si>
  <si>
    <t xml:space="preserve">TOTAL USES</t>
  </si>
  <si>
    <t xml:space="preserve">BALANCE CHECK  |  Sources – Uses  =  Must Always = $0.00</t>
  </si>
  <si>
    <t xml:space="preserve">Sources – Uses  (MUST = $0.00 at all times)</t>
  </si>
  <si>
    <t xml:space="preserve">  HOW IT WORKS: Change premium in Txn Assumptions → Offer Price rises → EPP rises → Uses rise → Revolver plug auto-draws → Balance stays $0.00</t>
  </si>
  <si>
    <t xml:space="preserve">FEE TREATMENT SUMMARY  —  Capitalized vs. Expensed</t>
  </si>
  <si>
    <t xml:space="preserve">Financing Fees (Row 16): CAPITALIZED — recorded as Deferred Financing Cost asset on Balance Sheet; amortized over debt life via interest expense.</t>
  </si>
  <si>
    <t xml:space="preserve">Advisory/Legal Fees (Row 17) + Other Costs (Row 18): EXPENSED — charged directly to Income Statement in the period incurred (deal close), reducing Retained Earnings on Day-0 Balance Sheet.</t>
  </si>
  <si>
    <t xml:space="preserve">Total Expensed Fees (after 25% tax shield): see Pro-Forma IS row — reduces Net Income in Year 1 only.</t>
  </si>
  <si>
    <t xml:space="preserve">PURCHASE PRICE ALLOCATION  ($mm)</t>
  </si>
  <si>
    <t xml:space="preserve">LINE ITEM</t>
  </si>
  <si>
    <t xml:space="preserve">BOOK VALUE ($mm)</t>
  </si>
  <si>
    <t xml:space="preserve">FV ADJUSTMENT ($mm)</t>
  </si>
  <si>
    <t xml:space="preserve">STEP 1 – CONSIDERATION TRANSFERRED</t>
  </si>
  <si>
    <t xml:space="preserve">Equity Purchase Price</t>
  </si>
  <si>
    <t xml:space="preserve">(+) Fair Value of Net Debt Assumed</t>
  </si>
  <si>
    <t xml:space="preserve">(-) Cash Acquired</t>
  </si>
  <si>
    <t xml:space="preserve">TOTAL CONSIDERATION (EV)</t>
  </si>
  <si>
    <t xml:space="preserve">STEP 2 – NET IDENTIFIABLE ASSETS ACQUIRED (BOOK VALUE)</t>
  </si>
  <si>
    <t xml:space="preserve">Cash</t>
  </si>
  <si>
    <t xml:space="preserve">Accounts Receivable</t>
  </si>
  <si>
    <t xml:space="preserve">Inventories</t>
  </si>
  <si>
    <t xml:space="preserve">Other Current Assets</t>
  </si>
  <si>
    <t xml:space="preserve">Net PP&amp;E</t>
  </si>
  <si>
    <t xml:space="preserve">Existing Intangibles</t>
  </si>
  <si>
    <t xml:space="preserve">Other Non-Current Assets</t>
  </si>
  <si>
    <t xml:space="preserve">Accounts Payable</t>
  </si>
  <si>
    <t xml:space="preserve">Accrued Liabilities</t>
  </si>
  <si>
    <t xml:space="preserve">Deferred Revenue</t>
  </si>
  <si>
    <t xml:space="preserve">Long-Term Debt (assumed)</t>
  </si>
  <si>
    <t xml:space="preserve">Other Liabilities</t>
  </si>
  <si>
    <t xml:space="preserve">Net Book Value of Assets Acquired</t>
  </si>
  <si>
    <t xml:space="preserve">STEP 3 – FAIR VALUE STEP-UPS</t>
  </si>
  <si>
    <t xml:space="preserve">PP&amp;E Step-Up</t>
  </si>
  <si>
    <t xml:space="preserve">Inventory Step-Up (one-time COGS)</t>
  </si>
  <si>
    <t xml:space="preserve">Customer Relationships</t>
  </si>
  <si>
    <t xml:space="preserve">Developed Technology / IP</t>
  </si>
  <si>
    <t xml:space="preserve">Trade Names &amp; Trademarks</t>
  </si>
  <si>
    <t xml:space="preserve">Non-Compete Agreements</t>
  </si>
  <si>
    <t xml:space="preserve">Deferred Revenue Step-Down</t>
  </si>
  <si>
    <t xml:space="preserve">Deferred Tax Liability on Step-Ups  [= (PP&amp;E + Intangibles step-up) × Tax Rate]</t>
  </si>
  <si>
    <t xml:space="preserve">Total Fair Value Adjustments</t>
  </si>
  <si>
    <t xml:space="preserve">STEP 4 – GOODWILL</t>
  </si>
  <si>
    <t xml:space="preserve">Total Consideration (EV)</t>
  </si>
  <si>
    <t xml:space="preserve">(-) Net Book Value of Assets</t>
  </si>
  <si>
    <t xml:space="preserve">(-) Fair Value Step-Ups (net of DTL)</t>
  </si>
  <si>
    <t xml:space="preserve">GOODWILL CREATED</t>
  </si>
  <si>
    <t xml:space="preserve">IDENTIFIED INTANGIBLES &amp; ANNUAL AMORTIZATION</t>
  </si>
  <si>
    <t xml:space="preserve">Intangible Asset</t>
  </si>
  <si>
    <t xml:space="preserve">Fair Value ($mm)</t>
  </si>
  <si>
    <t xml:space="preserve">Ann. Amort. ($mm)</t>
  </si>
  <si>
    <t xml:space="preserve">Total Identified Intangibles</t>
  </si>
  <si>
    <t xml:space="preserve">DTL DETAIL  —  Step-Up Assets × Tax Rate  (cross-check)</t>
  </si>
  <si>
    <t xml:space="preserve">Step-Up Asset</t>
  </si>
  <si>
    <t xml:space="preserve">Step-Up Amount ($mm)</t>
  </si>
  <si>
    <t xml:space="preserve">DTL @ Tax Rate ($mm)</t>
  </si>
  <si>
    <t xml:space="preserve">PP&amp;E Fair Value Step-Up</t>
  </si>
  <si>
    <t xml:space="preserve">Customer Relationships Step-Up</t>
  </si>
  <si>
    <t xml:space="preserve">Developed Technology / IP Step-Up</t>
  </si>
  <si>
    <t xml:space="preserve">Trade Names &amp; Trademarks Step-Up</t>
  </si>
  <si>
    <t xml:space="preserve">Non-Compete Agreements Step-Up</t>
  </si>
  <si>
    <t xml:space="preserve">Total DTL on Step-Up Assets</t>
  </si>
  <si>
    <t xml:space="preserve">  Note: Inventory step-up excluded — it flows through COGS immediately and creates no timing difference for DTL purposes.</t>
  </si>
  <si>
    <t xml:space="preserve">ACQUIROR – STANDALONE INCOME STATEMENT  ($mm)</t>
  </si>
  <si>
    <t xml:space="preserve">ACQUIROR STANDALONE  ($mm)</t>
  </si>
  <si>
    <t xml:space="preserve">INCOME STATEMENT – ACQUIROR STANDALONE</t>
  </si>
  <si>
    <t xml:space="preserve">Net Revenue</t>
  </si>
  <si>
    <t xml:space="preserve">  YoY Growth %</t>
  </si>
  <si>
    <t xml:space="preserve">"-"</t>
  </si>
  <si>
    <t xml:space="preserve">Cost of Goods Sold</t>
  </si>
  <si>
    <t xml:space="preserve">GROSS PROFIT</t>
  </si>
  <si>
    <t xml:space="preserve">  Gross Margin %</t>
  </si>
  <si>
    <t xml:space="preserve">OPERATING EXPENSES</t>
  </si>
  <si>
    <t xml:space="preserve">Research &amp; Development</t>
  </si>
  <si>
    <t xml:space="preserve">Selling, General &amp; Administrative</t>
  </si>
  <si>
    <t xml:space="preserve">Depreciation &amp; Amortization</t>
  </si>
  <si>
    <t xml:space="preserve">Total Operating Expenses</t>
  </si>
  <si>
    <t xml:space="preserve">EBIT (Operating Income)</t>
  </si>
  <si>
    <t xml:space="preserve">  EBIT Margin %</t>
  </si>
  <si>
    <t xml:space="preserve">EBITDA</t>
  </si>
  <si>
    <t xml:space="preserve">  EBITDA Margin %</t>
  </si>
  <si>
    <t xml:space="preserve">BELOW-THE-LINE</t>
  </si>
  <si>
    <t xml:space="preserve">Interest Expense (Existing Debt)</t>
  </si>
  <si>
    <t xml:space="preserve">Interest Income</t>
  </si>
  <si>
    <t xml:space="preserve">Earnings Before Tax</t>
  </si>
  <si>
    <t xml:space="preserve">Income Tax Expense (25%)</t>
  </si>
  <si>
    <t xml:space="preserve">NET INCOME – ACQUIROR</t>
  </si>
  <si>
    <t xml:space="preserve">  Net Margin %</t>
  </si>
  <si>
    <t xml:space="preserve">PER SHARE DATA</t>
  </si>
  <si>
    <t xml:space="preserve">Diluted Shares – Pre-Deal (mm)</t>
  </si>
  <si>
    <t xml:space="preserve">EPS – Acquiror Standalone ($)</t>
  </si>
  <si>
    <t xml:space="preserve">TARGET – STANDALONE INCOME STATEMENT  ($mm)</t>
  </si>
  <si>
    <t xml:space="preserve">TARGET STANDALONE  ($mm)</t>
  </si>
  <si>
    <t xml:space="preserve">INCOME STATEMENT – TARGET STANDALONE</t>
  </si>
  <si>
    <t xml:space="preserve">EBIT</t>
  </si>
  <si>
    <t xml:space="preserve">Income Tax (25%)</t>
  </si>
  <si>
    <t xml:space="preserve">NET INCOME – TARGET</t>
  </si>
  <si>
    <t xml:space="preserve">SYNERGY SCHEDULE  ($mm)</t>
  </si>
  <si>
    <t xml:space="preserve">SYNERGY ITEM  ($mm)</t>
  </si>
  <si>
    <t xml:space="preserve">REVENUE SYNERGIES</t>
  </si>
  <si>
    <t xml:space="preserve">Cross-Sell / Expanded Distribution</t>
  </si>
  <si>
    <t xml:space="preserve">New Product / Market Entry</t>
  </si>
  <si>
    <t xml:space="preserve">Pricing Power</t>
  </si>
  <si>
    <t xml:space="preserve">TOTAL REVENUE SYNERGIES</t>
  </si>
  <si>
    <t xml:space="preserve">COST SYNERGIES</t>
  </si>
  <si>
    <t xml:space="preserve">Headcount Reduction / Duplicate Roles</t>
  </si>
  <si>
    <t xml:space="preserve">Procurement / Vendor Savings</t>
  </si>
  <si>
    <t xml:space="preserve">Facilities Consolidation</t>
  </si>
  <si>
    <t xml:space="preserve">IT &amp; Systems Integration Savings</t>
  </si>
  <si>
    <t xml:space="preserve">Supply Chain Optimization</t>
  </si>
  <si>
    <t xml:space="preserve">TOTAL COST SYNERGIES</t>
  </si>
  <si>
    <t xml:space="preserve">TOTAL &amp; ONE-TIME INTEGRATION COSTS</t>
  </si>
  <si>
    <t xml:space="preserve">TOTAL SYNERGIES (Revenue + Cost)</t>
  </si>
  <si>
    <t xml:space="preserve">ONE-TIME INTEGRATION &amp; RESTRUCTURING COSTS</t>
  </si>
  <si>
    <t xml:space="preserve">Severance &amp; Restructuring</t>
  </si>
  <si>
    <t xml:space="preserve">IT Integration Costs</t>
  </si>
  <si>
    <t xml:space="preserve">Facilities &amp; Lease Termination</t>
  </si>
  <si>
    <t xml:space="preserve">Other Integration Costs</t>
  </si>
  <si>
    <t xml:space="preserve">TOTAL ONE-TIME COSTS</t>
  </si>
  <si>
    <t xml:space="preserve">NET SYNERGIES (After Integration Costs)</t>
  </si>
  <si>
    <t xml:space="preserve">PRO-FORMA COMBINED INCOME STATEMENT  ($mm)</t>
  </si>
  <si>
    <t xml:space="preserve">PRO-FORMA COMBINED  ($mm)</t>
  </si>
  <si>
    <t xml:space="preserve">COMBINED REVENUE</t>
  </si>
  <si>
    <t xml:space="preserve">Acquiror Net Revenue</t>
  </si>
  <si>
    <t xml:space="preserve">(+) Target Net Revenue</t>
  </si>
  <si>
    <t xml:space="preserve">(+) Revenue Synergies</t>
  </si>
  <si>
    <t xml:space="preserve">TOTAL PRO-FORMA REVENUE</t>
  </si>
  <si>
    <t xml:space="preserve">COST OF GOODS SOLD</t>
  </si>
  <si>
    <t xml:space="preserve">Acquiror COGS</t>
  </si>
  <si>
    <t xml:space="preserve">Target COGS</t>
  </si>
  <si>
    <t xml:space="preserve">Inventory Step-Up (one-time, Year 1 only)</t>
  </si>
  <si>
    <t xml:space="preserve">TOTAL PRO-FORMA COGS</t>
  </si>
  <si>
    <t xml:space="preserve">OPERATING EXPENSES – PRO-FORMA</t>
  </si>
  <si>
    <t xml:space="preserve">Acquiror R&amp;D</t>
  </si>
  <si>
    <t xml:space="preserve">Target R&amp;D</t>
  </si>
  <si>
    <t xml:space="preserve">Acquiror SG&amp;A</t>
  </si>
  <si>
    <t xml:space="preserve">Target SG&amp;A</t>
  </si>
  <si>
    <t xml:space="preserve">(+) Cost Synergies</t>
  </si>
  <si>
    <t xml:space="preserve">Acquiror D&amp;A (Standalone)</t>
  </si>
  <si>
    <t xml:space="preserve">Target D&amp;A (Standalone)</t>
  </si>
  <si>
    <t xml:space="preserve">PPA Amortization of Acquired Intangibles</t>
  </si>
  <si>
    <t xml:space="preserve">TOTAL PRO-FORMA OPEX</t>
  </si>
  <si>
    <t xml:space="preserve">PRO-FORMA EBIT</t>
  </si>
  <si>
    <t xml:space="preserve">PRO-FORMA EBITDA</t>
  </si>
  <si>
    <t xml:space="preserve">BELOW-THE-LINE – PRO-FORMA</t>
  </si>
  <si>
    <t xml:space="preserve">Acquiror Interest Expense (Existing)</t>
  </si>
  <si>
    <t xml:space="preserve">New Debt Interest – Term Loan (7.0%) + Sr Notes (9.0%) + Revolver (5.5%)</t>
  </si>
  <si>
    <t xml:space="preserve">(-) M&amp;A Advisory, Legal &amp; Other Fees  [EXPENSED — Year 1 only; not capitalized]</t>
  </si>
  <si>
    <t xml:space="preserve">(-) Financing Fee Amortization  [CAPITALIZED — amortized over 5-yr debt life]</t>
  </si>
  <si>
    <t xml:space="preserve">(-) Foregone Interest Income on Cash Used  [= Cash Deployed × 3.0% opportunity cost]</t>
  </si>
  <si>
    <t xml:space="preserve">PRO-FORMA EBT</t>
  </si>
  <si>
    <t xml:space="preserve">PRO-FORMA NET INCOME</t>
  </si>
  <si>
    <t xml:space="preserve">PRO-FORMA EPS BRIDGE</t>
  </si>
  <si>
    <t xml:space="preserve">Pro-Forma Diluted Shares Outstanding (mm)</t>
  </si>
  <si>
    <t xml:space="preserve">PRO-FORMA EPS ($)</t>
  </si>
  <si>
    <t xml:space="preserve">PRO-FORMA BALANCE SHEET  ($mm)  |  Day-0 Closing  |  Four-Column Combination</t>
  </si>
  <si>
    <t xml:space="preserve">Acquiror
Standalone</t>
  </si>
  <si>
    <t xml:space="preserve">Target
Standalone (Book)</t>
  </si>
  <si>
    <t xml:space="preserve">PPA
Adjustments</t>
  </si>
  <si>
    <t xml:space="preserve">Deal
Adjustments</t>
  </si>
  <si>
    <t xml:space="preserve">PRO-FORMA
COMBINED</t>
  </si>
  <si>
    <t xml:space="preserve">Acq. standalone
Blue = input</t>
  </si>
  <si>
    <t xml:space="preserve">Tgt. book value
Blue = input</t>
  </si>
  <si>
    <t xml:space="preserve">PPA step-ups
Green = linked</t>
  </si>
  <si>
    <t xml:space="preserve">Deal adj.
Green = linked</t>
  </si>
  <si>
    <t xml:space="preserve">Auto-calculated
Sum of all cols</t>
  </si>
  <si>
    <t xml:space="preserve">ASSETS  —  (Positive = asset, adds to total)</t>
  </si>
  <si>
    <t xml:space="preserve">CURRENT ASSETS</t>
  </si>
  <si>
    <t xml:space="preserve">Cash &amp; Cash Equivalents</t>
  </si>
  <si>
    <t xml:space="preserve">Accounts Receivable (net)</t>
  </si>
  <si>
    <t xml:space="preserve">Prepaid &amp; Other Current Assets</t>
  </si>
  <si>
    <t xml:space="preserve">TOTAL CURRENT ASSETS</t>
  </si>
  <si>
    <t xml:space="preserve">NON-CURRENT ASSETS</t>
  </si>
  <si>
    <t xml:space="preserve">Existing Intangibles (net)</t>
  </si>
  <si>
    <t xml:space="preserve">Acquired Intangibles — PPA-created  (Customer Rel, Tech, Trade, NCA)</t>
  </si>
  <si>
    <t xml:space="preserve">Goodwill  [= EV − Net Book Value − Fair Value Step-ups]</t>
  </si>
  <si>
    <t xml:space="preserve">Deferred Tax Assets &amp; Other Long-Term Assets</t>
  </si>
  <si>
    <t xml:space="preserve">Capitalized Financing Fees (OID, netted against debt)</t>
  </si>
  <si>
    <t xml:space="preserve">TOTAL NON-CURRENT ASSETS</t>
  </si>
  <si>
    <t xml:space="preserve">TOTAL ASSETS</t>
  </si>
  <si>
    <t xml:space="preserve">LIABILITIES  —  (Positive = liability, adds to total)</t>
  </si>
  <si>
    <t xml:space="preserve">CURRENT LIABILITIES</t>
  </si>
  <si>
    <t xml:space="preserve">Accrued Liabilities &amp; Other</t>
  </si>
  <si>
    <t xml:space="preserve">Current Portion of LTD – Acquiror</t>
  </si>
  <si>
    <t xml:space="preserve">Deferred Revenue &amp; Other Current Liabilities</t>
  </si>
  <si>
    <t xml:space="preserve">TOTAL CURRENT LIABILITIES</t>
  </si>
  <si>
    <t xml:space="preserve">NON-CURRENT LIABILITIES</t>
  </si>
  <si>
    <t xml:space="preserve">Long-Term Debt – Acquiror Existing</t>
  </si>
  <si>
    <t xml:space="preserve">Long-Term Debt – Target Existing  [Repaid at close → zeroed out]</t>
  </si>
  <si>
    <t xml:space="preserve">New Term Loan  (from deal financing)</t>
  </si>
  <si>
    <t xml:space="preserve">New Senior Notes  (from deal financing)</t>
  </si>
  <si>
    <t xml:space="preserve">Revolving Credit Facility  [Auto-plug draw from S&amp;U]</t>
  </si>
  <si>
    <t xml:space="preserve">Deferred Tax Liability on PPA Step-ups</t>
  </si>
  <si>
    <t xml:space="preserve">Other Non-Current Liabilities</t>
  </si>
  <si>
    <t xml:space="preserve">TOTAL NON-CURRENT LIABILITIES</t>
  </si>
  <si>
    <t xml:space="preserve">TOTAL LIABILITIES</t>
  </si>
  <si>
    <t xml:space="preserve">SHAREHOLDERS' EQUITY</t>
  </si>
  <si>
    <t xml:space="preserve">Common Stock &amp; APIC – Acquiror</t>
  </si>
  <si>
    <t xml:space="preserve">Common Stock &amp; APIC – Target  [Eliminated on consolidation]</t>
  </si>
  <si>
    <t xml:space="preserve">Retained Earnings – Acquiror</t>
  </si>
  <si>
    <t xml:space="preserve">Retained Earnings – Target  [Eliminated on consolidation]</t>
  </si>
  <si>
    <t xml:space="preserve">Accumulated OCI / Other Equity Items</t>
  </si>
  <si>
    <t xml:space="preserve">TOTAL SHAREHOLDERS' EQUITY</t>
  </si>
  <si>
    <t xml:space="preserve">TOTAL LIABILITIES &amp; EQUITY</t>
  </si>
  <si>
    <t xml:space="preserve">BALANCE SHEET CHECK  |  Assets – (Liabilities + Equity)  =  Must = $0.00</t>
  </si>
  <si>
    <t xml:space="preserve">Pro-Forma:  Total Assets – Total Liabilities – Total Equity  (MUST = $0)</t>
  </si>
  <si>
    <t xml:space="preserve">  Acquiror Standalone Check  (should also = $0)</t>
  </si>
  <si>
    <t xml:space="preserve">KEY CAPITALIZATION METRICS – PRO-FORMA DAY 0</t>
  </si>
  <si>
    <t xml:space="preserve">Pro-Forma Total Assets ($mm)</t>
  </si>
  <si>
    <t xml:space="preserve">Pro-Forma Total Debt ($mm)</t>
  </si>
  <si>
    <t xml:space="preserve">Pro-Forma Cash ($mm)</t>
  </si>
  <si>
    <t xml:space="preserve">Pro-Forma Net Debt ($mm)</t>
  </si>
  <si>
    <t xml:space="preserve">Pro-Forma Goodwill ($mm)</t>
  </si>
  <si>
    <t xml:space="preserve">Goodwill as % of Pro-Forma Total Assets</t>
  </si>
  <si>
    <t xml:space="preserve">Pro-Forma Total Debt / EBITDA (x)</t>
  </si>
  <si>
    <t xml:space="preserve">Pro-Forma Net Debt / EBITDA (x)</t>
  </si>
  <si>
    <t xml:space="preserve">FEE TREATMENT VERIFICATION</t>
  </si>
  <si>
    <t xml:space="preserve">Total Advisory/Legal/Other Fees  [EXPENSED]</t>
  </si>
  <si>
    <t xml:space="preserve">  After-Tax Impact on Retained Earnings</t>
  </si>
  <si>
    <t xml:space="preserve">Total Financing Fees  [CAPITALIZED → amortized]</t>
  </si>
  <si>
    <t xml:space="preserve">  Annual Amortization (5-yr debt life)</t>
  </si>
  <si>
    <t xml:space="preserve">DTL on PPA Step-Up Assets  [dynamic, links to PPA tab]</t>
  </si>
  <si>
    <t xml:space="preserve">  Tax Rate Used (%)</t>
  </si>
  <si>
    <t xml:space="preserve">Foregone Interest on Cash (annual, pre-tax)</t>
  </si>
  <si>
    <t xml:space="preserve">ACCRETION / DILUTION ANALYSIS</t>
  </si>
  <si>
    <t xml:space="preserve">ACCRETION / DILUTION</t>
  </si>
  <si>
    <t xml:space="preserve">EPS ACCRETION / (DILUTION) SUMMARY</t>
  </si>
  <si>
    <t xml:space="preserve">Acquiror Standalone EPS ($)</t>
  </si>
  <si>
    <t xml:space="preserve">Pro-Forma Combined EPS ($)</t>
  </si>
  <si>
    <t xml:space="preserve">EPS Change ($)  [Pro-Forma – Standalone]</t>
  </si>
  <si>
    <t xml:space="preserve">EPS Accretion / (Dilution) (%)</t>
  </si>
  <si>
    <t xml:space="preserve">NET INCOME BRIDGE  (Acquiror → Pro-Forma)</t>
  </si>
  <si>
    <t xml:space="preserve">Acquiror Standalone Net Income ($mm)</t>
  </si>
  <si>
    <t xml:space="preserve">(+) Target Standalone Net Income ($mm)</t>
  </si>
  <si>
    <t xml:space="preserve">(+) Revenue Synergies – After Tax</t>
  </si>
  <si>
    <t xml:space="preserve">(+) Cost Synergies – After Tax</t>
  </si>
  <si>
    <t xml:space="preserve">(-) PPA Amortization – After Tax</t>
  </si>
  <si>
    <t xml:space="preserve">(-) Incremental Interest on New Debt – After Tax</t>
  </si>
  <si>
    <t xml:space="preserve">(-) One-Time Transaction Costs – After Tax</t>
  </si>
  <si>
    <t xml:space="preserve">PRO-FORMA NET INCOME ($mm)  [Cross-check]</t>
  </si>
  <si>
    <t xml:space="preserve">BREAKEVEN SYNERGY REQUIRED</t>
  </si>
  <si>
    <t xml:space="preserve">EPS Breakeven Synergy ($mm) – Synergy needed to reach zero accretion/dilution</t>
  </si>
  <si>
    <t xml:space="preserve">  As % of Transaction EV</t>
  </si>
  <si>
    <t xml:space="preserve">PRO-FORMA CREDIT METRICS</t>
  </si>
  <si>
    <t xml:space="preserve">Pro-Forma Revenue ($mm)</t>
  </si>
  <si>
    <t xml:space="preserve">Pro-Forma EBITDA ($mm)</t>
  </si>
  <si>
    <t xml:space="preserve">Transaction Enterprise Value ($mm)</t>
  </si>
  <si>
    <t xml:space="preserve">EV / Pro-Forma EBITDA (x)</t>
  </si>
  <si>
    <t xml:space="preserve">Net Debt / Pro-Forma EBITDA (x)</t>
  </si>
  <si>
    <t xml:space="preserve">GOODWILL &amp; INTANGIBLES ROLL-FORWARD  ($mm)</t>
  </si>
  <si>
    <t xml:space="preserve">GOODWILL &amp; INTANGIBLES  ($mm)</t>
  </si>
  <si>
    <t xml:space="preserve">GOODWILL ROLL-FORWARD</t>
  </si>
  <si>
    <t xml:space="preserve">Beginning Goodwill Balance</t>
  </si>
  <si>
    <t xml:space="preserve">(+) Goodwill Created on Acquisition</t>
  </si>
  <si>
    <t xml:space="preserve">(-) Goodwill Impairment</t>
  </si>
  <si>
    <t xml:space="preserve">ENDING GOODWILL</t>
  </si>
  <si>
    <t xml:space="preserve">ACQUIRED INTANGIBLES ROLL-FORWARD</t>
  </si>
  <si>
    <t xml:space="preserve">Beginning Intangibles Balance</t>
  </si>
  <si>
    <t xml:space="preserve">(+) New Intangibles from Acquisition</t>
  </si>
  <si>
    <t xml:space="preserve">(-) Annual Amortization</t>
  </si>
  <si>
    <t xml:space="preserve">ENDING INTANGIBLES BALANCE</t>
  </si>
  <si>
    <t xml:space="preserve">INTANGIBLE ASSET DETAIL – LIVES &amp; AMORTIZATION</t>
  </si>
  <si>
    <t xml:space="preserve">Asset</t>
  </si>
  <si>
    <t xml:space="preserve">Fair Value</t>
  </si>
  <si>
    <t xml:space="preserve">Life (yrs)</t>
  </si>
  <si>
    <t xml:space="preserve">Ann. Amort.</t>
  </si>
  <si>
    <t xml:space="preserve">Total Intangibles</t>
  </si>
  <si>
    <t xml:space="preserve">SENSITIVITY &amp; SCENARIO ANALYSIS  |  Deal Pricing &amp; Synergy Impact</t>
  </si>
  <si>
    <t xml:space="preserve">TABLE 1  |  EPS Accretion/(Dilution) % – Offer Price vs. Total Synergies ($mm)</t>
  </si>
  <si>
    <t xml:space="preserve">↓ Synergies  |  Offer Price →</t>
  </si>
  <si>
    <t xml:space="preserve">$27.50</t>
  </si>
  <si>
    <t xml:space="preserve">$30.00</t>
  </si>
  <si>
    <t xml:space="preserve">$32.50</t>
  </si>
  <si>
    <t xml:space="preserve">$35.00</t>
  </si>
  <si>
    <t xml:space="preserve">$37.50</t>
  </si>
  <si>
    <t xml:space="preserve">$0mm Synergies</t>
  </si>
  <si>
    <t xml:space="preserve">$20mm Synergies</t>
  </si>
  <si>
    <t xml:space="preserve">$40mm Synergies</t>
  </si>
  <si>
    <t xml:space="preserve">$60mm Synergies</t>
  </si>
  <si>
    <t xml:space="preserve">$80mm Synergies</t>
  </si>
  <si>
    <t xml:space="preserve">TABLE 2  |  EV / Pro-Forma EBITDA (x) – Synergy Level vs. EBITDA Multiple</t>
  </si>
  <si>
    <t xml:space="preserve">↓ Cost Synergies  |  EV ($mm) →</t>
  </si>
  <si>
    <t xml:space="preserve">$600mm EV</t>
  </si>
  <si>
    <t xml:space="preserve">$650mm EV</t>
  </si>
  <si>
    <t xml:space="preserve">$700mm EV</t>
  </si>
  <si>
    <t xml:space="preserve">$750mm EV</t>
  </si>
  <si>
    <t xml:space="preserve">$800mm EV</t>
  </si>
  <si>
    <t xml:space="preserve">$0mm Cost Syn</t>
  </si>
  <si>
    <t xml:space="preserve">$15mm Cost Syn</t>
  </si>
  <si>
    <t xml:space="preserve">$30mm Cost Syn</t>
  </si>
  <si>
    <t xml:space="preserve">$45mm Cost Syn</t>
  </si>
  <si>
    <t xml:space="preserve">$60mm Cost Syn</t>
  </si>
  <si>
    <t xml:space="preserve">TABLE 3  |  EPS Dilution (%) – Offer Premium vs. % Stock Consideration</t>
  </si>
  <si>
    <t xml:space="preserve">↓ Premium  |  % Stock →</t>
  </si>
  <si>
    <t xml:space="preserve">0% Stock</t>
  </si>
  <si>
    <t xml:space="preserve">25% Stock</t>
  </si>
  <si>
    <t xml:space="preserve">50% Stock</t>
  </si>
  <si>
    <t xml:space="preserve">75% Stock</t>
  </si>
  <si>
    <t xml:space="preserve">100% Stock</t>
  </si>
  <si>
    <t xml:space="preserve">10% Premium</t>
  </si>
  <si>
    <t xml:space="preserve">20% Premium</t>
  </si>
  <si>
    <t xml:space="preserve">30% Premium</t>
  </si>
  <si>
    <t xml:space="preserve">40% Premium</t>
  </si>
  <si>
    <t xml:space="preserve">50% Premium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</si>
</sst>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&quot;($&quot;#,##0.0\);\-"/>
    <numFmt numFmtId="166" formatCode="0.0%;\(0.0%\);\-"/>
    <numFmt numFmtId="167" formatCode="#,##0;\(#,##0\);\-"/>
    <numFmt numFmtId="168" formatCode="\$#,##0;&quot;($&quot;#,##0\);\-"/>
    <numFmt numFmtId="169" formatCode="0.0\x;\(0.0&quot;x)&quot;;\-"/>
    <numFmt numFmtId="170" formatCode="0.0000\x"/>
    <numFmt numFmtId="171" formatCode="0.0%;\(0.0%\);\-"/>
    <numFmt numFmtId="172" formatCode="@"/>
    <numFmt numFmtId="173" formatCode="\$#,##0;&quot;($&quot;#,##0\);\-"/>
    <numFmt numFmtId="174" formatCode="#,##0;\(#,##0\);\-"/>
    <numFmt numFmtId="175" formatCode="\$#,##0.0;&quot;($&quot;#,##0.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0"/>
      <color rgb="FFA0B4C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3"/>
      <color rgb="FF0D1B2A"/>
      <name val="Arial"/>
      <family val="0"/>
      <charset val="1"/>
    </font>
    <font>
      <b val="true"/>
      <sz val="8"/>
      <color rgb="FFA0B4C8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2"/>
      <color rgb="FF0D1B2A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444444"/>
      <name val="Arial"/>
      <family val="0"/>
      <charset val="1"/>
    </font>
    <font>
      <sz val="8"/>
      <color rgb="FF1E3A5F"/>
      <name val="Arial"/>
      <family val="0"/>
      <charset val="1"/>
    </font>
    <font>
      <sz val="8"/>
      <color rgb="FFC00000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8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7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9"/>
      <color rgb="FF9C0006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E3A5F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C6EFCE"/>
      </patternFill>
    </fill>
    <fill>
      <patternFill patternType="solid">
        <fgColor rgb="FFFFF2CC"/>
        <bgColor rgb="FFFFFACD"/>
      </patternFill>
    </fill>
    <fill>
      <patternFill patternType="solid">
        <fgColor rgb="FF004400"/>
        <bgColor rgb="FF006100"/>
      </patternFill>
    </fill>
    <fill>
      <patternFill patternType="solid">
        <fgColor rgb="FF4A4A8C"/>
        <bgColor rgb="FF555555"/>
      </patternFill>
    </fill>
    <fill>
      <patternFill patternType="solid">
        <fgColor rgb="FF2C5F8A"/>
        <bgColor rgb="FF1B6CA8"/>
      </patternFill>
    </fill>
    <fill>
      <patternFill patternType="solid">
        <fgColor rgb="FF006400"/>
        <bgColor rgb="FF006100"/>
      </patternFill>
    </fill>
    <fill>
      <patternFill patternType="solid">
        <fgColor rgb="FFD6FFD6"/>
        <bgColor rgb="FFC6EFCE"/>
      </patternFill>
    </fill>
    <fill>
      <patternFill patternType="solid">
        <fgColor rgb="FFDAEEF3"/>
        <bgColor rgb="FFE8F4FD"/>
      </patternFill>
    </fill>
    <fill>
      <patternFill patternType="solid">
        <fgColor rgb="FFE8F4FD"/>
        <bgColor rgb="FFDAEEF3"/>
      </patternFill>
    </fill>
    <fill>
      <patternFill patternType="solid">
        <fgColor rgb="FF90EE90"/>
        <bgColor rgb="FFC6EFCE"/>
      </patternFill>
    </fill>
    <fill>
      <patternFill patternType="solid">
        <fgColor rgb="FFFDE8E8"/>
        <bgColor rgb="FFFFF2CC"/>
      </patternFill>
    </fill>
    <fill>
      <patternFill patternType="solid">
        <fgColor rgb="FFFFB6B6"/>
        <bgColor rgb="FFFFC7CE"/>
      </patternFill>
    </fill>
    <fill>
      <patternFill patternType="solid">
        <fgColor rgb="FFFFFACD"/>
        <bgColor rgb="FFFFF2CC"/>
      </patternFill>
    </fill>
    <fill>
      <patternFill patternType="solid">
        <fgColor rgb="FFFFC7CE"/>
        <bgColor rgb="FFFFB6B6"/>
      </patternFill>
    </fill>
    <fill>
      <patternFill patternType="solid">
        <fgColor rgb="FFC6EFCE"/>
        <bgColor rgb="FFD6FF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1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2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12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11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3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FFFFFF"/>
      </font>
      <fill>
        <patternFill>
          <bgColor rgb="FFFF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FF0000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D1B2A"/>
      <rgbColor rgb="FFB8860B"/>
      <rgbColor rgb="FF800080"/>
      <rgbColor rgb="FF217346"/>
      <rgbColor rgb="FFA0B4C8"/>
      <rgbColor rgb="FF888888"/>
      <rgbColor rgb="FF9999FF"/>
      <rgbColor rgb="FF7030A0"/>
      <rgbColor rgb="FFFFFACD"/>
      <rgbColor rgb="FFDAEEF3"/>
      <rgbColor rgb="FF660066"/>
      <rgbColor rgb="FFFF8080"/>
      <rgbColor rgb="FF1B6CA8"/>
      <rgbColor rgb="FFBDD7EE"/>
      <rgbColor rgb="FF006100"/>
      <rgbColor rgb="FFFF00FF"/>
      <rgbColor rgb="FFFFFF00"/>
      <rgbColor rgb="FF00FFFF"/>
      <rgbColor rgb="FF800080"/>
      <rgbColor rgb="FFC00000"/>
      <rgbColor rgb="FF2C5F8A"/>
      <rgbColor rgb="FF0000FF"/>
      <rgbColor rgb="FF00CCFF"/>
      <rgbColor rgb="FFE8F4FD"/>
      <rgbColor rgb="FFD6FFD6"/>
      <rgbColor rgb="FFFFF2CC"/>
      <rgbColor rgb="FFC6EFCE"/>
      <rgbColor rgb="FFFFB6B6"/>
      <rgbColor rgb="FFFDE8E8"/>
      <rgbColor rgb="FFFFC7CE"/>
      <rgbColor rgb="FF006400"/>
      <rgbColor rgb="FF33CCCC"/>
      <rgbColor rgb="FF90EE90"/>
      <rgbColor rgb="FFFFCC00"/>
      <rgbColor rgb="FFFF9900"/>
      <rgbColor rgb="FFFF6600"/>
      <rgbColor rgb="FF555555"/>
      <rgbColor rgb="FF969696"/>
      <rgbColor rgb="FF1E3A5F"/>
      <rgbColor rgb="FF2E86AB"/>
      <rgbColor rgb="FF004400"/>
      <rgbColor rgb="FF444444"/>
      <rgbColor rgb="FF993300"/>
      <rgbColor rgb="FF993366"/>
      <rgbColor rgb="FF4A4A8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K5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5"/>
    <col collapsed="false" customWidth="true" hidden="false" outlineLevel="0" max="4" min="4" style="1" width="32"/>
    <col collapsed="false" customWidth="true" hidden="false" outlineLevel="0" max="11" min="5" style="1" width="5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6.2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2"/>
    </row>
    <row r="4" customFormat="false" ht="23.25" hidden="false" customHeight="true" outlineLevel="0" collapsed="false">
      <c r="A4" s="2"/>
      <c r="B4" s="4" t="s">
        <v>1</v>
      </c>
      <c r="C4" s="4"/>
      <c r="D4" s="4"/>
      <c r="E4" s="4"/>
      <c r="F4" s="4"/>
      <c r="G4" s="4"/>
      <c r="H4" s="4"/>
      <c r="I4" s="4"/>
      <c r="J4" s="4"/>
      <c r="K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true" outlineLevel="0" collapsed="false">
      <c r="A7" s="2"/>
      <c r="B7" s="2"/>
      <c r="C7" s="5" t="s">
        <v>2</v>
      </c>
      <c r="D7" s="5"/>
      <c r="E7" s="5"/>
      <c r="F7" s="5"/>
      <c r="G7" s="5"/>
      <c r="H7" s="5"/>
      <c r="I7" s="5"/>
      <c r="J7" s="2"/>
      <c r="K7" s="2"/>
    </row>
    <row r="8" customFormat="false" ht="15" hidden="false" customHeight="true" outlineLevel="0" collapsed="false">
      <c r="A8" s="2"/>
      <c r="B8" s="2"/>
      <c r="C8" s="6" t="s">
        <v>3</v>
      </c>
      <c r="D8" s="7" t="s">
        <v>4</v>
      </c>
      <c r="E8" s="7"/>
      <c r="F8" s="7"/>
      <c r="G8" s="7"/>
      <c r="H8" s="7"/>
      <c r="I8" s="7"/>
      <c r="J8" s="2"/>
      <c r="K8" s="2"/>
    </row>
    <row r="9" customFormat="false" ht="15" hidden="false" customHeight="true" outlineLevel="0" collapsed="false">
      <c r="A9" s="2"/>
      <c r="B9" s="2"/>
      <c r="C9" s="6" t="s">
        <v>5</v>
      </c>
      <c r="D9" s="7" t="s">
        <v>6</v>
      </c>
      <c r="E9" s="7"/>
      <c r="F9" s="7"/>
      <c r="G9" s="7"/>
      <c r="H9" s="7"/>
      <c r="I9" s="7"/>
      <c r="J9" s="2"/>
      <c r="K9" s="2"/>
    </row>
    <row r="10" customFormat="false" ht="15" hidden="false" customHeight="true" outlineLevel="0" collapsed="false">
      <c r="A10" s="2"/>
      <c r="B10" s="2"/>
      <c r="C10" s="6" t="s">
        <v>7</v>
      </c>
      <c r="D10" s="7" t="s">
        <v>8</v>
      </c>
      <c r="E10" s="7"/>
      <c r="F10" s="7"/>
      <c r="G10" s="7"/>
      <c r="H10" s="7"/>
      <c r="I10" s="7"/>
      <c r="J10" s="2"/>
      <c r="K10" s="2"/>
    </row>
    <row r="11" customFormat="false" ht="15" hidden="false" customHeight="true" outlineLevel="0" collapsed="false">
      <c r="A11" s="2"/>
      <c r="B11" s="2"/>
      <c r="C11" s="6" t="s">
        <v>9</v>
      </c>
      <c r="D11" s="7" t="s">
        <v>10</v>
      </c>
      <c r="E11" s="7"/>
      <c r="F11" s="7"/>
      <c r="G11" s="7"/>
      <c r="H11" s="7"/>
      <c r="I11" s="7"/>
      <c r="J11" s="2"/>
      <c r="K11" s="2"/>
    </row>
    <row r="12" customFormat="false" ht="15" hidden="false" customHeight="true" outlineLevel="0" collapsed="false">
      <c r="A12" s="2"/>
      <c r="B12" s="2"/>
      <c r="C12" s="6" t="s">
        <v>11</v>
      </c>
      <c r="D12" s="7" t="s">
        <v>12</v>
      </c>
      <c r="E12" s="7"/>
      <c r="F12" s="7"/>
      <c r="G12" s="7"/>
      <c r="H12" s="7"/>
      <c r="I12" s="7"/>
      <c r="J12" s="2"/>
      <c r="K12" s="2"/>
    </row>
    <row r="13" customFormat="false" ht="15" hidden="false" customHeight="true" outlineLevel="0" collapsed="false">
      <c r="A13" s="2"/>
      <c r="B13" s="2"/>
      <c r="C13" s="6" t="s">
        <v>13</v>
      </c>
      <c r="D13" s="7" t="s">
        <v>14</v>
      </c>
      <c r="E13" s="7"/>
      <c r="F13" s="7"/>
      <c r="G13" s="7"/>
      <c r="H13" s="7"/>
      <c r="I13" s="7"/>
      <c r="J13" s="2"/>
      <c r="K13" s="2"/>
    </row>
    <row r="14" customFormat="false" ht="15" hidden="false" customHeight="true" outlineLevel="0" collapsed="false">
      <c r="A14" s="2"/>
      <c r="B14" s="2"/>
      <c r="C14" s="6" t="s">
        <v>15</v>
      </c>
      <c r="D14" s="7" t="s">
        <v>16</v>
      </c>
      <c r="E14" s="7"/>
      <c r="F14" s="7"/>
      <c r="G14" s="7"/>
      <c r="H14" s="7"/>
      <c r="I14" s="7"/>
      <c r="J14" s="2"/>
      <c r="K14" s="2"/>
    </row>
    <row r="15" customFormat="false" ht="15" hidden="false" customHeight="true" outlineLevel="0" collapsed="false">
      <c r="A15" s="2"/>
      <c r="B15" s="2"/>
      <c r="C15" s="6" t="s">
        <v>17</v>
      </c>
      <c r="D15" s="7" t="s">
        <v>18</v>
      </c>
      <c r="E15" s="7"/>
      <c r="F15" s="7"/>
      <c r="G15" s="7"/>
      <c r="H15" s="7"/>
      <c r="I15" s="7"/>
      <c r="J15" s="2"/>
      <c r="K15" s="2"/>
    </row>
    <row r="16" customFormat="false" ht="15" hidden="false" customHeight="true" outlineLevel="0" collapsed="false">
      <c r="A16" s="2"/>
      <c r="B16" s="2"/>
      <c r="C16" s="6" t="s">
        <v>19</v>
      </c>
      <c r="D16" s="7" t="s">
        <v>20</v>
      </c>
      <c r="E16" s="7"/>
      <c r="F16" s="7"/>
      <c r="G16" s="7"/>
      <c r="H16" s="7"/>
      <c r="I16" s="7"/>
      <c r="J16" s="2"/>
      <c r="K16" s="2"/>
    </row>
    <row r="17" customFormat="false" ht="15" hidden="false" customHeight="true" outlineLevel="0" collapsed="false">
      <c r="A17" s="2"/>
      <c r="B17" s="2"/>
      <c r="C17" s="6" t="s">
        <v>21</v>
      </c>
      <c r="D17" s="7" t="s">
        <v>22</v>
      </c>
      <c r="E17" s="7"/>
      <c r="F17" s="7"/>
      <c r="G17" s="7"/>
      <c r="H17" s="7"/>
      <c r="I17" s="7"/>
      <c r="J17" s="2"/>
      <c r="K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mergeCells count="13">
    <mergeCell ref="B3:J3"/>
    <mergeCell ref="B4:J4"/>
    <mergeCell ref="C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I2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"/>
    <col collapsed="false" customWidth="true" hidden="false" outlineLevel="0" max="8" min="3" style="1" width="14"/>
    <col collapsed="false" customWidth="true" hidden="false" outlineLevel="0" max="9" min="9" style="1" width="10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8" t="s">
        <v>23</v>
      </c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30" hidden="false" customHeight="true" outlineLevel="0" collapsed="false">
      <c r="A5" s="9" t="s">
        <v>24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10" t="s">
        <v>31</v>
      </c>
    </row>
    <row r="7" customFormat="false" ht="15" hidden="false" customHeight="true" outlineLevel="0" collapsed="false">
      <c r="A7" s="11" t="s">
        <v>32</v>
      </c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12" t="s">
        <v>33</v>
      </c>
      <c r="B8" s="13"/>
      <c r="C8" s="14" t="s">
        <v>34</v>
      </c>
      <c r="D8" s="13"/>
      <c r="E8" s="13"/>
      <c r="F8" s="13"/>
      <c r="G8" s="13"/>
      <c r="H8" s="13"/>
      <c r="I8" s="13"/>
    </row>
    <row r="9" customFormat="false" ht="15" hidden="false" customHeight="true" outlineLevel="0" collapsed="false">
      <c r="A9" s="12" t="s">
        <v>35</v>
      </c>
      <c r="B9" s="13"/>
      <c r="C9" s="14" t="s">
        <v>36</v>
      </c>
      <c r="D9" s="13"/>
      <c r="E9" s="13"/>
      <c r="F9" s="13"/>
      <c r="G9" s="13"/>
      <c r="H9" s="13"/>
      <c r="I9" s="13"/>
    </row>
    <row r="10" customFormat="false" ht="15" hidden="false" customHeight="true" outlineLevel="0" collapsed="false">
      <c r="A10" s="12" t="s">
        <v>37</v>
      </c>
      <c r="B10" s="13"/>
      <c r="C10" s="14" t="s">
        <v>38</v>
      </c>
      <c r="D10" s="13"/>
      <c r="E10" s="13"/>
      <c r="F10" s="13"/>
      <c r="G10" s="13"/>
      <c r="H10" s="13"/>
      <c r="I10" s="13"/>
    </row>
    <row r="11" customFormat="false" ht="15" hidden="false" customHeight="true" outlineLevel="0" collapsed="false">
      <c r="A11" s="12" t="s">
        <v>39</v>
      </c>
      <c r="B11" s="13"/>
      <c r="C11" s="15" t="n">
        <v>25</v>
      </c>
      <c r="D11" s="13"/>
      <c r="E11" s="13"/>
      <c r="F11" s="13"/>
      <c r="G11" s="13"/>
      <c r="H11" s="13"/>
      <c r="I11" s="13"/>
    </row>
    <row r="12" customFormat="false" ht="15" hidden="false" customHeight="true" outlineLevel="0" collapsed="false">
      <c r="A12" s="12" t="s">
        <v>40</v>
      </c>
      <c r="B12" s="13"/>
      <c r="C12" s="16" t="n">
        <v>0.3</v>
      </c>
      <c r="D12" s="13"/>
      <c r="E12" s="13"/>
      <c r="F12" s="13"/>
      <c r="G12" s="13"/>
      <c r="H12" s="13"/>
      <c r="I12" s="13"/>
    </row>
    <row r="13" customFormat="false" ht="15" hidden="false" customHeight="true" outlineLevel="0" collapsed="false">
      <c r="A13" s="12" t="s">
        <v>41</v>
      </c>
      <c r="B13" s="13"/>
      <c r="C13" s="17" t="n">
        <f aca="false">C11*(1+C12)</f>
        <v>32.5</v>
      </c>
      <c r="D13" s="13"/>
      <c r="E13" s="13"/>
      <c r="F13" s="13"/>
      <c r="G13" s="13"/>
      <c r="H13" s="13"/>
      <c r="I13" s="13"/>
    </row>
    <row r="14" customFormat="false" ht="15" hidden="false" customHeight="true" outlineLevel="0" collapsed="false">
      <c r="A14" s="12" t="s">
        <v>42</v>
      </c>
      <c r="B14" s="13"/>
      <c r="C14" s="18" t="n">
        <v>150</v>
      </c>
      <c r="D14" s="13"/>
      <c r="E14" s="13"/>
      <c r="F14" s="13"/>
      <c r="G14" s="13"/>
      <c r="H14" s="13"/>
      <c r="I14" s="13"/>
    </row>
    <row r="15" customFormat="false" ht="15" hidden="false" customHeight="true" outlineLevel="0" collapsed="false">
      <c r="A15" s="19" t="s">
        <v>43</v>
      </c>
      <c r="B15" s="20"/>
      <c r="C15" s="21" t="n">
        <f aca="false">C13*C14</f>
        <v>4875</v>
      </c>
      <c r="D15" s="20"/>
      <c r="E15" s="20"/>
      <c r="F15" s="20"/>
      <c r="G15" s="20"/>
      <c r="H15" s="20"/>
      <c r="I15" s="20"/>
    </row>
    <row r="16" customFormat="false" ht="15" hidden="false" customHeight="true" outlineLevel="0" collapsed="false">
      <c r="A16" s="12" t="s">
        <v>44</v>
      </c>
      <c r="B16" s="13"/>
      <c r="C16" s="22" t="n">
        <v>200</v>
      </c>
      <c r="D16" s="13"/>
      <c r="E16" s="13"/>
      <c r="F16" s="13"/>
      <c r="G16" s="13"/>
      <c r="H16" s="13"/>
      <c r="I16" s="13"/>
    </row>
    <row r="17" customFormat="false" ht="15" hidden="false" customHeight="true" outlineLevel="0" collapsed="false">
      <c r="A17" s="12" t="s">
        <v>45</v>
      </c>
      <c r="B17" s="13"/>
      <c r="C17" s="22" t="n">
        <v>80</v>
      </c>
      <c r="D17" s="13"/>
      <c r="E17" s="13"/>
      <c r="F17" s="13"/>
      <c r="G17" s="13"/>
      <c r="H17" s="13"/>
      <c r="I17" s="13"/>
    </row>
    <row r="18" customFormat="false" ht="15" hidden="false" customHeight="true" outlineLevel="0" collapsed="false">
      <c r="A18" s="19" t="s">
        <v>46</v>
      </c>
      <c r="B18" s="20"/>
      <c r="C18" s="21" t="n">
        <f aca="false">C15+C16-C17</f>
        <v>4995</v>
      </c>
      <c r="D18" s="20"/>
      <c r="E18" s="20"/>
      <c r="F18" s="20"/>
      <c r="G18" s="20"/>
      <c r="H18" s="20"/>
      <c r="I18" s="20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true" outlineLevel="0" collapsed="false">
      <c r="A20" s="11" t="s">
        <v>47</v>
      </c>
      <c r="B20" s="11"/>
      <c r="C20" s="11"/>
      <c r="D20" s="11"/>
      <c r="E20" s="11"/>
      <c r="F20" s="11"/>
      <c r="G20" s="11"/>
      <c r="H20" s="11"/>
      <c r="I20" s="11"/>
    </row>
    <row r="21" customFormat="false" ht="15" hidden="false" customHeight="true" outlineLevel="0" collapsed="false">
      <c r="A21" s="12" t="s">
        <v>48</v>
      </c>
      <c r="B21" s="13"/>
      <c r="C21" s="22" t="n">
        <v>500</v>
      </c>
      <c r="D21" s="13"/>
      <c r="E21" s="13"/>
      <c r="F21" s="13"/>
      <c r="G21" s="13"/>
      <c r="H21" s="13"/>
      <c r="I21" s="13"/>
    </row>
    <row r="22" customFormat="false" ht="15" hidden="false" customHeight="true" outlineLevel="0" collapsed="false">
      <c r="A22" s="12" t="s">
        <v>49</v>
      </c>
      <c r="B22" s="13"/>
      <c r="C22" s="22" t="n">
        <v>100</v>
      </c>
      <c r="D22" s="13"/>
      <c r="E22" s="13"/>
      <c r="F22" s="13"/>
      <c r="G22" s="13"/>
      <c r="H22" s="13"/>
      <c r="I22" s="13"/>
    </row>
    <row r="23" customFormat="false" ht="15" hidden="false" customHeight="true" outlineLevel="0" collapsed="false">
      <c r="A23" s="12" t="s">
        <v>50</v>
      </c>
      <c r="B23" s="13"/>
      <c r="C23" s="22" t="n">
        <v>75</v>
      </c>
      <c r="D23" s="13"/>
      <c r="E23" s="13"/>
      <c r="F23" s="13"/>
      <c r="G23" s="13"/>
      <c r="H23" s="13"/>
      <c r="I23" s="13"/>
    </row>
    <row r="24" customFormat="false" ht="15" hidden="false" customHeight="true" outlineLevel="0" collapsed="false">
      <c r="A24" s="12" t="s">
        <v>51</v>
      </c>
      <c r="B24" s="13"/>
      <c r="C24" s="22" t="n">
        <v>55</v>
      </c>
      <c r="D24" s="13"/>
      <c r="E24" s="13"/>
      <c r="F24" s="13"/>
      <c r="G24" s="13"/>
      <c r="H24" s="13"/>
      <c r="I24" s="13"/>
    </row>
    <row r="25" customFormat="false" ht="15" hidden="false" customHeight="true" outlineLevel="0" collapsed="false">
      <c r="A25" s="12" t="s">
        <v>52</v>
      </c>
      <c r="B25" s="13"/>
      <c r="C25" s="23" t="n">
        <f aca="false">C18/C21</f>
        <v>9.99</v>
      </c>
      <c r="D25" s="13"/>
      <c r="E25" s="13"/>
      <c r="F25" s="13"/>
      <c r="G25" s="13"/>
      <c r="H25" s="13"/>
      <c r="I25" s="13"/>
    </row>
    <row r="26" customFormat="false" ht="15" hidden="false" customHeight="true" outlineLevel="0" collapsed="false">
      <c r="A26" s="12" t="s">
        <v>53</v>
      </c>
      <c r="B26" s="13"/>
      <c r="C26" s="23" t="n">
        <f aca="false">C18/C22</f>
        <v>49.95</v>
      </c>
      <c r="D26" s="13"/>
      <c r="E26" s="13"/>
      <c r="F26" s="13"/>
      <c r="G26" s="13"/>
      <c r="H26" s="13"/>
      <c r="I26" s="13"/>
    </row>
    <row r="27" customFormat="false" ht="15" hidden="false" customHeight="true" outlineLevel="0" collapsed="false">
      <c r="A27" s="12" t="s">
        <v>54</v>
      </c>
      <c r="B27" s="13"/>
      <c r="C27" s="23" t="n">
        <f aca="false">C18/C23</f>
        <v>66.6</v>
      </c>
      <c r="D27" s="13"/>
      <c r="E27" s="13"/>
      <c r="F27" s="13"/>
      <c r="G27" s="13"/>
      <c r="H27" s="13"/>
      <c r="I27" s="13"/>
    </row>
    <row r="28" customFormat="false" ht="15" hidden="false" customHeight="true" outlineLevel="0" collapsed="false">
      <c r="A28" s="12" t="s">
        <v>55</v>
      </c>
      <c r="B28" s="13"/>
      <c r="C28" s="23" t="n">
        <f aca="false">C15/C24</f>
        <v>88.6363636363636</v>
      </c>
      <c r="D28" s="13"/>
      <c r="E28" s="13"/>
      <c r="F28" s="13"/>
      <c r="G28" s="13"/>
      <c r="H28" s="13"/>
      <c r="I28" s="13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true" outlineLevel="0" collapsed="false">
      <c r="A30" s="11" t="s">
        <v>56</v>
      </c>
      <c r="B30" s="11"/>
      <c r="C30" s="11"/>
      <c r="D30" s="11"/>
      <c r="E30" s="11"/>
      <c r="F30" s="11"/>
      <c r="G30" s="11"/>
      <c r="H30" s="11"/>
      <c r="I30" s="11"/>
    </row>
    <row r="31" customFormat="false" ht="15" hidden="false" customHeight="true" outlineLevel="0" collapsed="false">
      <c r="A31" s="12" t="s">
        <v>57</v>
      </c>
      <c r="B31" s="13"/>
      <c r="C31" s="16" t="n">
        <v>0.6</v>
      </c>
      <c r="D31" s="13"/>
      <c r="E31" s="13"/>
      <c r="F31" s="13"/>
      <c r="G31" s="13"/>
      <c r="H31" s="13"/>
      <c r="I31" s="13"/>
    </row>
    <row r="32" customFormat="false" ht="15" hidden="false" customHeight="true" outlineLevel="0" collapsed="false">
      <c r="A32" s="12" t="s">
        <v>58</v>
      </c>
      <c r="B32" s="13"/>
      <c r="C32" s="24" t="n">
        <f aca="false">1-C31</f>
        <v>0.4</v>
      </c>
      <c r="D32" s="13"/>
      <c r="E32" s="13"/>
      <c r="F32" s="13"/>
      <c r="G32" s="13"/>
      <c r="H32" s="13"/>
      <c r="I32" s="13"/>
    </row>
    <row r="33" customFormat="false" ht="15" hidden="false" customHeight="true" outlineLevel="0" collapsed="false">
      <c r="A33" s="12" t="s">
        <v>59</v>
      </c>
      <c r="B33" s="13"/>
      <c r="C33" s="25" t="n">
        <f aca="false">C15*C31</f>
        <v>2925</v>
      </c>
      <c r="D33" s="13"/>
      <c r="E33" s="13"/>
      <c r="F33" s="13"/>
      <c r="G33" s="13"/>
      <c r="H33" s="13"/>
      <c r="I33" s="13"/>
    </row>
    <row r="34" customFormat="false" ht="15" hidden="false" customHeight="true" outlineLevel="0" collapsed="false">
      <c r="A34" s="12" t="s">
        <v>60</v>
      </c>
      <c r="B34" s="13"/>
      <c r="C34" s="25" t="n">
        <f aca="false">C15*C32</f>
        <v>1950</v>
      </c>
      <c r="D34" s="13"/>
      <c r="E34" s="13"/>
      <c r="F34" s="13"/>
      <c r="G34" s="13"/>
      <c r="H34" s="13"/>
      <c r="I34" s="13"/>
    </row>
    <row r="35" customFormat="false" ht="1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true" outlineLevel="0" collapsed="false">
      <c r="A36" s="11" t="s">
        <v>61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true" outlineLevel="0" collapsed="false">
      <c r="A37" s="26" t="s">
        <v>62</v>
      </c>
      <c r="B37" s="26"/>
      <c r="C37" s="26"/>
      <c r="D37" s="26"/>
      <c r="E37" s="26"/>
      <c r="F37" s="26"/>
      <c r="G37" s="26"/>
      <c r="H37" s="26"/>
      <c r="I37" s="13"/>
    </row>
    <row r="38" customFormat="false" ht="15" hidden="false" customHeight="true" outlineLevel="0" collapsed="false">
      <c r="A38" s="12" t="s">
        <v>63</v>
      </c>
      <c r="B38" s="13"/>
      <c r="C38" s="15" t="n">
        <v>55</v>
      </c>
      <c r="D38" s="13"/>
      <c r="E38" s="13"/>
      <c r="F38" s="13"/>
      <c r="G38" s="13"/>
      <c r="H38" s="13"/>
      <c r="I38" s="13"/>
    </row>
    <row r="39" customFormat="false" ht="15" hidden="false" customHeight="true" outlineLevel="0" collapsed="false">
      <c r="A39" s="12" t="s">
        <v>64</v>
      </c>
      <c r="B39" s="13"/>
      <c r="C39" s="27" t="n">
        <f aca="false">C13/C38</f>
        <v>0.590909090909091</v>
      </c>
      <c r="D39" s="13"/>
      <c r="E39" s="13"/>
      <c r="F39" s="13"/>
      <c r="G39" s="13"/>
      <c r="H39" s="13"/>
      <c r="I39" s="13"/>
    </row>
    <row r="40" customFormat="false" ht="15" hidden="false" customHeight="true" outlineLevel="0" collapsed="false">
      <c r="A40" s="12" t="s">
        <v>65</v>
      </c>
      <c r="B40" s="13"/>
      <c r="C40" s="28" t="n">
        <f aca="false">C34</f>
        <v>1950</v>
      </c>
      <c r="D40" s="13"/>
      <c r="E40" s="13"/>
      <c r="F40" s="13"/>
      <c r="G40" s="13"/>
      <c r="H40" s="13"/>
      <c r="I40" s="13"/>
    </row>
    <row r="41" customFormat="false" ht="15" hidden="false" customHeight="true" outlineLevel="0" collapsed="false">
      <c r="A41" s="12" t="s">
        <v>66</v>
      </c>
      <c r="B41" s="13"/>
      <c r="C41" s="29" t="n">
        <f aca="false">C40/C38</f>
        <v>35.4545454545455</v>
      </c>
      <c r="D41" s="13"/>
      <c r="E41" s="13"/>
      <c r="F41" s="13"/>
      <c r="G41" s="13"/>
      <c r="H41" s="13"/>
      <c r="I41" s="13"/>
    </row>
    <row r="42" customFormat="false" ht="15" hidden="false" customHeight="true" outlineLevel="0" collapsed="false">
      <c r="A42" s="30" t="s">
        <v>67</v>
      </c>
      <c r="B42" s="13"/>
      <c r="C42" s="31" t="n">
        <f aca="false">C14*C39</f>
        <v>88.6363636363636</v>
      </c>
      <c r="D42" s="13"/>
      <c r="E42" s="13"/>
      <c r="F42" s="13"/>
      <c r="G42" s="13"/>
      <c r="H42" s="13"/>
      <c r="I42" s="13"/>
    </row>
    <row r="43" customFormat="false" ht="15" hidden="false" customHeight="true" outlineLevel="0" collapsed="false">
      <c r="A43" s="12" t="s">
        <v>68</v>
      </c>
      <c r="B43" s="13"/>
      <c r="C43" s="18" t="n">
        <v>250</v>
      </c>
      <c r="D43" s="13"/>
      <c r="E43" s="13"/>
      <c r="F43" s="13"/>
      <c r="G43" s="13"/>
      <c r="H43" s="13"/>
      <c r="I43" s="13"/>
    </row>
    <row r="44" customFormat="false" ht="15" hidden="false" customHeight="true" outlineLevel="0" collapsed="false">
      <c r="A44" s="19" t="s">
        <v>69</v>
      </c>
      <c r="B44" s="20"/>
      <c r="C44" s="32" t="n">
        <f aca="false">C43+C41</f>
        <v>285.454545454545</v>
      </c>
      <c r="D44" s="20"/>
      <c r="E44" s="20"/>
      <c r="F44" s="20"/>
      <c r="G44" s="20"/>
      <c r="H44" s="20"/>
      <c r="I44" s="20"/>
    </row>
    <row r="45" customFormat="false" ht="1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</row>
    <row r="46" customFormat="false" ht="15" hidden="false" customHeight="true" outlineLevel="0" collapsed="false">
      <c r="A46" s="11" t="s">
        <v>70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true" outlineLevel="0" collapsed="false">
      <c r="A47" s="12" t="s">
        <v>71</v>
      </c>
      <c r="B47" s="13"/>
      <c r="C47" s="22" t="n">
        <v>300</v>
      </c>
      <c r="D47" s="13"/>
      <c r="E47" s="13"/>
      <c r="F47" s="13"/>
      <c r="G47" s="13"/>
      <c r="H47" s="13"/>
      <c r="I47" s="13"/>
    </row>
    <row r="48" customFormat="false" ht="15" hidden="false" customHeight="true" outlineLevel="0" collapsed="false">
      <c r="A48" s="30" t="s">
        <v>72</v>
      </c>
      <c r="B48" s="13"/>
      <c r="C48" s="16" t="n">
        <v>0.07</v>
      </c>
      <c r="D48" s="13"/>
      <c r="E48" s="13"/>
      <c r="F48" s="13"/>
      <c r="G48" s="13"/>
      <c r="H48" s="13"/>
      <c r="I48" s="13"/>
    </row>
    <row r="49" customFormat="false" ht="15" hidden="false" customHeight="true" outlineLevel="0" collapsed="false">
      <c r="A49" s="30" t="s">
        <v>73</v>
      </c>
      <c r="B49" s="13"/>
      <c r="C49" s="25" t="n">
        <f aca="false">C47*C48</f>
        <v>21</v>
      </c>
      <c r="D49" s="13"/>
      <c r="E49" s="13"/>
      <c r="F49" s="13"/>
      <c r="G49" s="13"/>
      <c r="H49" s="13"/>
      <c r="I49" s="13"/>
    </row>
    <row r="50" customFormat="false" ht="15" hidden="false" customHeight="true" outlineLevel="0" collapsed="false">
      <c r="A50" s="12" t="s">
        <v>74</v>
      </c>
      <c r="B50" s="13"/>
      <c r="C50" s="22" t="n">
        <v>100</v>
      </c>
      <c r="D50" s="13"/>
      <c r="E50" s="13"/>
      <c r="F50" s="13"/>
      <c r="G50" s="13"/>
      <c r="H50" s="13"/>
      <c r="I50" s="13"/>
    </row>
    <row r="51" customFormat="false" ht="15" hidden="false" customHeight="true" outlineLevel="0" collapsed="false">
      <c r="A51" s="30" t="s">
        <v>75</v>
      </c>
      <c r="B51" s="13"/>
      <c r="C51" s="16" t="n">
        <v>0.09</v>
      </c>
      <c r="D51" s="13"/>
      <c r="E51" s="13"/>
      <c r="F51" s="13"/>
      <c r="G51" s="13"/>
      <c r="H51" s="13"/>
      <c r="I51" s="13"/>
    </row>
    <row r="52" customFormat="false" ht="15" hidden="false" customHeight="true" outlineLevel="0" collapsed="false">
      <c r="A52" s="30" t="s">
        <v>76</v>
      </c>
      <c r="B52" s="13"/>
      <c r="C52" s="25" t="n">
        <f aca="false">C50*C51</f>
        <v>9</v>
      </c>
      <c r="D52" s="13"/>
      <c r="E52" s="13"/>
      <c r="F52" s="13"/>
      <c r="G52" s="13"/>
      <c r="H52" s="13"/>
      <c r="I52" s="13"/>
    </row>
    <row r="53" customFormat="false" ht="15" hidden="false" customHeight="true" outlineLevel="0" collapsed="false">
      <c r="A53" s="12" t="s">
        <v>77</v>
      </c>
      <c r="B53" s="13"/>
      <c r="C53" s="33" t="n">
        <f aca="false">'Sources &amp; Uses'!C8</f>
        <v>2713</v>
      </c>
      <c r="D53" s="13"/>
      <c r="E53" s="13"/>
      <c r="F53" s="13"/>
      <c r="G53" s="13"/>
      <c r="H53" s="13"/>
      <c r="I53" s="13"/>
    </row>
    <row r="54" customFormat="false" ht="15" hidden="false" customHeight="true" outlineLevel="0" collapsed="false">
      <c r="A54" s="30" t="s">
        <v>78</v>
      </c>
      <c r="B54" s="13"/>
      <c r="C54" s="16" t="n">
        <v>0.055</v>
      </c>
      <c r="D54" s="13"/>
      <c r="E54" s="13"/>
      <c r="F54" s="13"/>
      <c r="G54" s="13"/>
      <c r="H54" s="13"/>
      <c r="I54" s="13"/>
    </row>
    <row r="55" customFormat="false" ht="15" hidden="false" customHeight="true" outlineLevel="0" collapsed="false">
      <c r="A55" s="30" t="s">
        <v>79</v>
      </c>
      <c r="B55" s="13"/>
      <c r="C55" s="25" t="n">
        <f aca="false">C53*C54</f>
        <v>149.215</v>
      </c>
      <c r="D55" s="13"/>
      <c r="E55" s="13"/>
      <c r="F55" s="13"/>
      <c r="G55" s="13"/>
      <c r="H55" s="13"/>
      <c r="I55" s="13"/>
    </row>
    <row r="56" customFormat="false" ht="15" hidden="false" customHeight="true" outlineLevel="0" collapsed="false">
      <c r="A56" s="19" t="s">
        <v>80</v>
      </c>
      <c r="B56" s="20"/>
      <c r="C56" s="21" t="n">
        <f aca="false">C47+C50+C53</f>
        <v>3113</v>
      </c>
      <c r="D56" s="20"/>
      <c r="E56" s="20"/>
      <c r="F56" s="20"/>
      <c r="G56" s="20"/>
      <c r="H56" s="20"/>
      <c r="I56" s="20"/>
    </row>
    <row r="57" customFormat="false" ht="15" hidden="false" customHeight="true" outlineLevel="0" collapsed="false">
      <c r="A57" s="19" t="s">
        <v>81</v>
      </c>
      <c r="B57" s="20"/>
      <c r="C57" s="21" t="n">
        <f aca="false">C49+C52+C55</f>
        <v>179.215</v>
      </c>
      <c r="D57" s="20"/>
      <c r="E57" s="20"/>
      <c r="F57" s="20"/>
      <c r="G57" s="20"/>
      <c r="H57" s="20"/>
      <c r="I57" s="20"/>
    </row>
    <row r="58" customFormat="false" ht="15" hidden="false" customHeight="true" outlineLevel="0" collapsed="false">
      <c r="A58" s="30" t="s">
        <v>82</v>
      </c>
      <c r="B58" s="13"/>
      <c r="C58" s="24" t="n">
        <f aca="false">IF(C56=0,0,C57/C56)</f>
        <v>0.0575698682942499</v>
      </c>
      <c r="D58" s="13"/>
      <c r="E58" s="13"/>
      <c r="F58" s="13"/>
      <c r="G58" s="13"/>
      <c r="H58" s="13"/>
      <c r="I58" s="13"/>
    </row>
    <row r="59" customFormat="false" ht="15" hidden="false" customHeight="true" outlineLevel="0" collapsed="false">
      <c r="A59" s="12" t="s">
        <v>83</v>
      </c>
      <c r="B59" s="13"/>
      <c r="C59" s="34" t="n">
        <v>0.25</v>
      </c>
      <c r="D59" s="13"/>
      <c r="E59" s="13"/>
      <c r="F59" s="13"/>
      <c r="G59" s="13"/>
      <c r="H59" s="13"/>
      <c r="I59" s="13"/>
    </row>
    <row r="60" customFormat="false" ht="1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</row>
    <row r="61" customFormat="false" ht="1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  <c r="I61" s="13"/>
    </row>
    <row r="62" customFormat="false" ht="15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</row>
    <row r="63" customFormat="false" ht="1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  <c r="I63" s="13"/>
    </row>
    <row r="64" customFormat="false" ht="1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</row>
    <row r="65" customFormat="false" ht="1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  <c r="I65" s="13"/>
    </row>
    <row r="66" customFormat="false" ht="1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</row>
    <row r="67" customFormat="false" ht="1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  <c r="I67" s="13"/>
    </row>
    <row r="68" customFormat="false" ht="1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</row>
    <row r="69" customFormat="false" ht="15" hidden="false" customHeight="true" outlineLevel="0" collapsed="false">
      <c r="A69" s="13"/>
      <c r="B69" s="13"/>
      <c r="C69" s="13"/>
      <c r="D69" s="13"/>
      <c r="E69" s="13"/>
      <c r="F69" s="13"/>
      <c r="G69" s="13"/>
      <c r="H69" s="13"/>
      <c r="I69" s="13"/>
    </row>
    <row r="70" customFormat="false" ht="15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  <c r="I70" s="13"/>
    </row>
    <row r="71" customFormat="false" ht="15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  <c r="I71" s="13"/>
    </row>
    <row r="72" customFormat="false" ht="15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</row>
    <row r="73" customFormat="false" ht="15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</row>
    <row r="74" customFormat="false" ht="15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</row>
    <row r="75" customFormat="false" ht="1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</row>
    <row r="76" customFormat="false" ht="1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</row>
    <row r="77" customFormat="false" ht="1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</row>
    <row r="78" customFormat="false" ht="15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</row>
    <row r="79" customFormat="false" ht="15" hidden="false" customHeight="true" outlineLevel="0" collapsed="false">
      <c r="A79" s="13"/>
      <c r="B79" s="13"/>
      <c r="C79" s="13"/>
      <c r="D79" s="13"/>
      <c r="E79" s="13"/>
      <c r="F79" s="13"/>
      <c r="G79" s="13"/>
      <c r="H79" s="13"/>
      <c r="I79" s="13"/>
    </row>
    <row r="80" customFormat="false" ht="15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</row>
    <row r="81" customFormat="false" ht="15" hidden="false" customHeight="true" outlineLevel="0" collapsed="false">
      <c r="A81" s="13"/>
      <c r="B81" s="13"/>
      <c r="C81" s="13"/>
      <c r="D81" s="13"/>
      <c r="E81" s="13"/>
      <c r="F81" s="13"/>
      <c r="G81" s="13"/>
      <c r="H81" s="13"/>
      <c r="I81" s="13"/>
    </row>
    <row r="82" customFormat="false" ht="1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</row>
    <row r="83" customFormat="false" ht="15" hidden="false" customHeight="true" outlineLevel="0" collapsed="false">
      <c r="A83" s="13"/>
      <c r="B83" s="13"/>
      <c r="C83" s="13"/>
      <c r="D83" s="13"/>
      <c r="E83" s="13"/>
      <c r="F83" s="13"/>
      <c r="G83" s="13"/>
      <c r="H83" s="13"/>
      <c r="I83" s="13"/>
    </row>
    <row r="84" customFormat="false" ht="1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</row>
    <row r="85" customFormat="false" ht="15" hidden="false" customHeight="true" outlineLevel="0" collapsed="false">
      <c r="A85" s="13"/>
      <c r="B85" s="13"/>
      <c r="C85" s="13"/>
      <c r="D85" s="13"/>
      <c r="E85" s="13"/>
      <c r="F85" s="13"/>
      <c r="G85" s="13"/>
      <c r="H85" s="13"/>
      <c r="I85" s="13"/>
    </row>
    <row r="86" customFormat="false" ht="15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</row>
    <row r="87" customFormat="false" ht="15" hidden="false" customHeight="true" outlineLevel="0" collapsed="false">
      <c r="A87" s="13"/>
      <c r="B87" s="13"/>
      <c r="C87" s="13"/>
      <c r="D87" s="13"/>
      <c r="E87" s="13"/>
      <c r="F87" s="13"/>
      <c r="G87" s="13"/>
      <c r="H87" s="13"/>
      <c r="I87" s="13"/>
    </row>
    <row r="88" customFormat="false" ht="15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</row>
    <row r="89" customFormat="false" ht="15" hidden="false" customHeight="true" outlineLevel="0" collapsed="false">
      <c r="A89" s="13"/>
      <c r="B89" s="13"/>
      <c r="C89" s="13"/>
      <c r="D89" s="13"/>
      <c r="E89" s="13"/>
      <c r="F89" s="13"/>
      <c r="G89" s="13"/>
      <c r="H89" s="13"/>
      <c r="I89" s="13"/>
    </row>
    <row r="90" customFormat="false" ht="1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</row>
    <row r="91" customFormat="false" ht="1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</row>
    <row r="92" customFormat="false" ht="15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</row>
    <row r="93" customFormat="false" ht="15" hidden="false" customHeight="true" outlineLevel="0" collapsed="false">
      <c r="A93" s="13"/>
      <c r="B93" s="13"/>
      <c r="C93" s="13"/>
      <c r="D93" s="13"/>
      <c r="E93" s="13"/>
      <c r="F93" s="13"/>
      <c r="G93" s="13"/>
      <c r="H93" s="13"/>
      <c r="I93" s="13"/>
    </row>
    <row r="94" customFormat="false" ht="15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</row>
    <row r="95" customFormat="false" ht="15" hidden="false" customHeight="true" outlineLevel="0" collapsed="false">
      <c r="A95" s="13"/>
      <c r="B95" s="13"/>
      <c r="C95" s="13"/>
      <c r="D95" s="13"/>
      <c r="E95" s="13"/>
      <c r="F95" s="13"/>
      <c r="G95" s="13"/>
      <c r="H95" s="13"/>
      <c r="I95" s="13"/>
    </row>
    <row r="96" customFormat="false" ht="15" hidden="false" customHeight="true" outlineLevel="0" collapsed="false">
      <c r="A96" s="13"/>
      <c r="B96" s="13"/>
      <c r="C96" s="13"/>
      <c r="D96" s="13"/>
      <c r="E96" s="13"/>
      <c r="F96" s="13"/>
      <c r="G96" s="13"/>
      <c r="H96" s="13"/>
      <c r="I96" s="13"/>
    </row>
    <row r="97" customFormat="false" ht="15" hidden="false" customHeight="true" outlineLevel="0" collapsed="false">
      <c r="A97" s="13"/>
      <c r="B97" s="13"/>
      <c r="C97" s="13"/>
      <c r="D97" s="13"/>
      <c r="E97" s="13"/>
      <c r="F97" s="13"/>
      <c r="G97" s="13"/>
      <c r="H97" s="13"/>
      <c r="I97" s="13"/>
    </row>
    <row r="98" customFormat="false" ht="15" hidden="false" customHeight="true" outlineLevel="0" collapsed="false">
      <c r="A98" s="13"/>
      <c r="B98" s="13"/>
      <c r="C98" s="13"/>
      <c r="D98" s="13"/>
      <c r="E98" s="13"/>
      <c r="F98" s="13"/>
      <c r="G98" s="13"/>
      <c r="H98" s="13"/>
      <c r="I98" s="13"/>
    </row>
    <row r="99" customFormat="false" ht="15" hidden="false" customHeight="true" outlineLevel="0" collapsed="false">
      <c r="A99" s="13"/>
      <c r="B99" s="13"/>
      <c r="C99" s="13"/>
      <c r="D99" s="13"/>
      <c r="E99" s="13"/>
      <c r="F99" s="13"/>
      <c r="G99" s="13"/>
      <c r="H99" s="13"/>
      <c r="I99" s="13"/>
    </row>
    <row r="100" customFormat="false" ht="15" hidden="false" customHeight="tru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</row>
    <row r="101" customFormat="false" ht="15" hidden="false" customHeight="tru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</row>
    <row r="102" customFormat="false" ht="15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</row>
    <row r="103" customFormat="false" ht="15" hidden="false" customHeight="tru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</row>
    <row r="104" customFormat="false" ht="15" hidden="false" customHeight="tru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</row>
    <row r="105" customFormat="false" ht="15" hidden="false" customHeight="tru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</row>
    <row r="106" customFormat="false" ht="15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</row>
    <row r="107" customFormat="false" ht="15" hidden="false" customHeight="tru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</row>
    <row r="108" customFormat="false" ht="15" hidden="false" customHeight="tru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</row>
    <row r="109" customFormat="false" ht="15" hidden="false" customHeight="tru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</row>
    <row r="110" customFormat="false" ht="15" hidden="false" customHeight="tru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</row>
    <row r="111" customFormat="false" ht="15" hidden="false" customHeight="tru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</row>
    <row r="112" customFormat="false" ht="15" hidden="false" customHeight="tru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</row>
    <row r="113" customFormat="false" ht="15" hidden="false" customHeight="tru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</row>
    <row r="114" customFormat="false" ht="15" hidden="false" customHeight="tru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</row>
    <row r="115" customFormat="false" ht="1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</row>
    <row r="116" customFormat="false" ht="15" hidden="false" customHeight="tru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</row>
    <row r="117" customFormat="false" ht="15" hidden="false" customHeight="tru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</row>
    <row r="118" customFormat="false" ht="15" hidden="false" customHeight="tru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</row>
    <row r="119" customFormat="false" ht="15" hidden="false" customHeight="tru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</row>
    <row r="120" customFormat="false" ht="15" hidden="false" customHeight="tru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</row>
    <row r="121" customFormat="false" ht="15" hidden="false" customHeight="tru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</row>
    <row r="122" customFormat="false" ht="15" hidden="false" customHeight="tru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</row>
    <row r="123" customFormat="false" ht="15" hidden="false" customHeight="tru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</row>
    <row r="124" customFormat="false" ht="15" hidden="false" customHeight="tru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</row>
    <row r="125" customFormat="false" ht="15" hidden="false" customHeight="tru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</row>
    <row r="126" customFormat="false" ht="15" hidden="false" customHeight="tru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</row>
    <row r="127" customFormat="false" ht="15" hidden="false" customHeight="tru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</row>
    <row r="128" customFormat="false" ht="15" hidden="false" customHeight="tru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</row>
    <row r="129" customFormat="false" ht="15" hidden="false" customHeight="tru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</row>
    <row r="130" customFormat="false" ht="15" hidden="false" customHeight="tru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</row>
    <row r="131" customFormat="false" ht="15" hidden="false" customHeight="tru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</row>
    <row r="132" customFormat="false" ht="15" hidden="false" customHeight="tru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</row>
    <row r="133" customFormat="false" ht="15" hidden="false" customHeight="tru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</row>
    <row r="134" customFormat="false" ht="15" hidden="false" customHeight="tru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</row>
    <row r="135" customFormat="false" ht="15" hidden="false" customHeight="tru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</row>
    <row r="136" customFormat="false" ht="15" hidden="false" customHeight="tru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</row>
    <row r="137" customFormat="false" ht="15" hidden="false" customHeight="tru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</row>
    <row r="138" customFormat="false" ht="15" hidden="false" customHeight="tru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</row>
    <row r="139" customFormat="false" ht="15" hidden="false" customHeight="tru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</row>
    <row r="140" customFormat="false" ht="15" hidden="false" customHeight="tru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</row>
    <row r="141" customFormat="false" ht="15" hidden="false" customHeight="tru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</row>
    <row r="142" customFormat="false" ht="15" hidden="false" customHeight="tru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</row>
    <row r="143" customFormat="false" ht="15" hidden="false" customHeight="tru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</row>
    <row r="144" customFormat="false" ht="15" hidden="false" customHeight="tru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</row>
    <row r="145" customFormat="false" ht="15" hidden="false" customHeight="tru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</row>
    <row r="146" customFormat="false" ht="15" hidden="false" customHeight="tru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</row>
    <row r="147" customFormat="false" ht="15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</row>
    <row r="148" customFormat="false" ht="15" hidden="false" customHeight="tru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</row>
    <row r="149" customFormat="false" ht="15" hidden="false" customHeight="tru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</row>
    <row r="150" customFormat="false" ht="15" hidden="false" customHeight="tru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</row>
    <row r="151" customFormat="false" ht="15" hidden="false" customHeight="tru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</row>
    <row r="152" customFormat="false" ht="15" hidden="false" customHeight="tru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</row>
    <row r="153" customFormat="false" ht="15" hidden="false" customHeight="tru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</row>
    <row r="154" customFormat="false" ht="15" hidden="false" customHeight="tru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</row>
    <row r="155" customFormat="false" ht="15" hidden="false" customHeight="tru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</row>
    <row r="156" customFormat="false" ht="15" hidden="false" customHeight="tru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</row>
    <row r="157" customFormat="false" ht="15" hidden="false" customHeight="tru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</row>
    <row r="158" customFormat="false" ht="15" hidden="false" customHeight="tru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</row>
    <row r="159" customFormat="false" ht="15" hidden="false" customHeight="tru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</row>
    <row r="160" customFormat="false" ht="15" hidden="false" customHeight="tru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</row>
    <row r="161" customFormat="false" ht="15" hidden="false" customHeight="tru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</row>
    <row r="162" customFormat="false" ht="15" hidden="false" customHeight="tru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</row>
    <row r="163" customFormat="false" ht="15" hidden="false" customHeight="tru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</row>
    <row r="164" customFormat="false" ht="15" hidden="false" customHeight="tru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</row>
    <row r="165" customFormat="false" ht="15" hidden="false" customHeight="tru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</row>
    <row r="166" customFormat="false" ht="15" hidden="false" customHeight="tru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</row>
    <row r="167" customFormat="false" ht="15" hidden="false" customHeight="tru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</row>
    <row r="168" customFormat="false" ht="15" hidden="false" customHeight="tru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</row>
    <row r="169" customFormat="false" ht="15" hidden="false" customHeight="tru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</row>
    <row r="170" customFormat="false" ht="15" hidden="false" customHeight="tru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</row>
    <row r="171" customFormat="false" ht="15" hidden="false" customHeight="tru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</row>
    <row r="172" customFormat="false" ht="15" hidden="false" customHeight="tru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</row>
    <row r="173" customFormat="false" ht="15" hidden="false" customHeight="tru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</row>
    <row r="174" customFormat="false" ht="15" hidden="false" customHeight="tru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</row>
    <row r="175" customFormat="false" ht="15" hidden="false" customHeight="tru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</row>
    <row r="176" customFormat="false" ht="15" hidden="false" customHeight="tru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</row>
    <row r="177" customFormat="false" ht="15" hidden="false" customHeight="tru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</row>
    <row r="178" customFormat="false" ht="15" hidden="false" customHeight="tru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</row>
    <row r="179" customFormat="false" ht="15" hidden="false" customHeight="tru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</row>
    <row r="180" customFormat="false" ht="15" hidden="false" customHeight="tru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</row>
    <row r="181" customFormat="false" ht="15" hidden="false" customHeight="tru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</row>
    <row r="182" customFormat="false" ht="15" hidden="false" customHeight="tru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</row>
    <row r="183" customFormat="false" ht="15" hidden="false" customHeight="tru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</row>
    <row r="184" customFormat="false" ht="15" hidden="false" customHeight="tru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</row>
    <row r="185" customFormat="false" ht="15" hidden="false" customHeight="tru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</row>
    <row r="186" customFormat="false" ht="15" hidden="false" customHeight="tru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</row>
    <row r="187" customFormat="false" ht="15" hidden="false" customHeight="tru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</row>
    <row r="188" customFormat="false" ht="15" hidden="false" customHeight="tru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</row>
    <row r="189" customFormat="false" ht="15" hidden="false" customHeight="tru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</row>
    <row r="190" customFormat="false" ht="15" hidden="false" customHeight="tru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</row>
    <row r="191" customFormat="false" ht="15" hidden="false" customHeight="tru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</row>
    <row r="192" customFormat="false" ht="15" hidden="false" customHeight="tru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</row>
    <row r="193" customFormat="false" ht="15" hidden="false" customHeight="tru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</row>
    <row r="194" customFormat="false" ht="15" hidden="false" customHeight="tru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</row>
    <row r="195" customFormat="false" ht="15" hidden="false" customHeight="tru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</row>
    <row r="196" customFormat="false" ht="15" hidden="false" customHeight="tru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</row>
    <row r="197" customFormat="false" ht="15" hidden="false" customHeight="tru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</row>
    <row r="198" customFormat="false" ht="15" hidden="false" customHeight="tru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</row>
    <row r="199" customFormat="false" ht="15" hidden="false" customHeight="tru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</row>
    <row r="200" customFormat="false" ht="15" hidden="false" customHeight="tru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</row>
  </sheetData>
  <mergeCells count="6">
    <mergeCell ref="A7:I7"/>
    <mergeCell ref="A20:I20"/>
    <mergeCell ref="A30:I30"/>
    <mergeCell ref="A36:I36"/>
    <mergeCell ref="A37:H37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E1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"/>
    <col collapsed="false" customWidth="true" hidden="false" outlineLevel="0" max="4" min="3" style="1" width="20"/>
    <col collapsed="false" customWidth="true" hidden="false" outlineLevel="0" max="5" min="5" style="1" width="14"/>
  </cols>
  <sheetData>
    <row r="1" customFormat="false" ht="4.5" hidden="false" customHeight="true" outlineLevel="0" collapsed="false"/>
    <row r="2" customFormat="false" ht="19.5" hidden="false" customHeight="true" outlineLevel="0" collapsed="false">
      <c r="A2" s="35" t="s">
        <v>84</v>
      </c>
      <c r="B2" s="35"/>
      <c r="C2" s="35"/>
      <c r="D2" s="35"/>
      <c r="E2" s="35"/>
    </row>
    <row r="3" customFormat="false" ht="4.5" hidden="false" customHeight="true" outlineLevel="0" collapsed="false">
      <c r="A3" s="13"/>
      <c r="B3" s="13"/>
      <c r="C3" s="13"/>
      <c r="D3" s="13"/>
    </row>
    <row r="4" customFormat="false" ht="15" hidden="false" customHeight="true" outlineLevel="0" collapsed="false">
      <c r="A4" s="36" t="s">
        <v>85</v>
      </c>
      <c r="B4" s="13"/>
      <c r="C4" s="37" t="s">
        <v>86</v>
      </c>
      <c r="D4" s="37" t="s">
        <v>87</v>
      </c>
      <c r="E4" s="37" t="s">
        <v>88</v>
      </c>
    </row>
    <row r="5" customFormat="false" ht="15" hidden="false" customHeight="true" outlineLevel="0" collapsed="false">
      <c r="A5" s="38" t="s">
        <v>89</v>
      </c>
      <c r="B5" s="13"/>
      <c r="C5" s="39" t="n">
        <v>50</v>
      </c>
      <c r="D5" s="40" t="n">
        <f aca="false">IF(C11=0,0,C5/C11)</f>
        <v>0.00977899471934285</v>
      </c>
      <c r="E5" s="41" t="s">
        <v>90</v>
      </c>
    </row>
    <row r="6" customFormat="false" ht="15" hidden="false" customHeight="true" outlineLevel="0" collapsed="false">
      <c r="A6" s="38" t="s">
        <v>91</v>
      </c>
      <c r="B6" s="13"/>
      <c r="C6" s="33" t="n">
        <f aca="false">'Txn Assumptions'!C47</f>
        <v>300</v>
      </c>
      <c r="D6" s="40" t="n">
        <f aca="false">IF(C11=0,0,C6/C11)</f>
        <v>0.0586739683160571</v>
      </c>
      <c r="E6" s="41" t="s">
        <v>92</v>
      </c>
    </row>
    <row r="7" customFormat="false" ht="15" hidden="false" customHeight="true" outlineLevel="0" collapsed="false">
      <c r="A7" s="38" t="s">
        <v>93</v>
      </c>
      <c r="B7" s="13"/>
      <c r="C7" s="33" t="n">
        <f aca="false">'Txn Assumptions'!C50</f>
        <v>100</v>
      </c>
      <c r="D7" s="40" t="n">
        <f aca="false">IF(C11=0,0,C7/C11)</f>
        <v>0.0195579894386857</v>
      </c>
      <c r="E7" s="41" t="s">
        <v>92</v>
      </c>
    </row>
    <row r="8" customFormat="false" ht="15" hidden="false" customHeight="true" outlineLevel="0" collapsed="false">
      <c r="A8" s="38" t="s">
        <v>94</v>
      </c>
      <c r="B8" s="13"/>
      <c r="C8" s="42" t="n">
        <f aca="false">MAX(0,C19-(C5+'Txn Assumptions'!C47+'Txn Assumptions'!C50+C9+C10))</f>
        <v>2713</v>
      </c>
      <c r="D8" s="40" t="n">
        <f aca="false">IF(C11=0,0,C8/C11)</f>
        <v>0.530608253471543</v>
      </c>
      <c r="E8" s="41" t="s">
        <v>95</v>
      </c>
    </row>
    <row r="9" customFormat="false" ht="15" hidden="false" customHeight="true" outlineLevel="0" collapsed="false">
      <c r="A9" s="38" t="s">
        <v>96</v>
      </c>
      <c r="B9" s="13"/>
      <c r="C9" s="33" t="n">
        <f aca="false">'Txn Assumptions'!C34</f>
        <v>1950</v>
      </c>
      <c r="D9" s="40" t="n">
        <f aca="false">IF(C11=0,0,C9/C11)</f>
        <v>0.381380794054371</v>
      </c>
      <c r="E9" s="41" t="s">
        <v>92</v>
      </c>
    </row>
    <row r="10" customFormat="false" ht="15" hidden="false" customHeight="true" outlineLevel="0" collapsed="false">
      <c r="A10" s="38" t="s">
        <v>97</v>
      </c>
      <c r="B10" s="13"/>
      <c r="C10" s="39" t="n">
        <v>0</v>
      </c>
      <c r="D10" s="40" t="n">
        <f aca="false">IF(C11=0,0,C10/C11)</f>
        <v>0</v>
      </c>
      <c r="E10" s="41" t="s">
        <v>90</v>
      </c>
    </row>
    <row r="11" customFormat="false" ht="15" hidden="false" customHeight="true" outlineLevel="0" collapsed="false">
      <c r="A11" s="43" t="s">
        <v>98</v>
      </c>
      <c r="B11" s="13"/>
      <c r="C11" s="44" t="n">
        <f aca="false">SUM(C5:C10)</f>
        <v>5113</v>
      </c>
      <c r="D11" s="45" t="str">
        <f aca="false">"100.0%"</f>
        <v>100.0%</v>
      </c>
    </row>
    <row r="12" customFormat="false" ht="15" hidden="false" customHeight="true" outlineLevel="0" collapsed="false">
      <c r="A12" s="13"/>
      <c r="B12" s="13"/>
      <c r="C12" s="46"/>
      <c r="D12" s="47"/>
    </row>
    <row r="13" customFormat="false" ht="15" hidden="false" customHeight="true" outlineLevel="0" collapsed="false">
      <c r="A13" s="36" t="s">
        <v>99</v>
      </c>
      <c r="B13" s="13"/>
      <c r="C13" s="37" t="s">
        <v>86</v>
      </c>
      <c r="D13" s="37" t="s">
        <v>87</v>
      </c>
      <c r="E13" s="37" t="s">
        <v>88</v>
      </c>
    </row>
    <row r="14" customFormat="false" ht="15" hidden="false" customHeight="true" outlineLevel="0" collapsed="false">
      <c r="A14" s="38" t="s">
        <v>100</v>
      </c>
      <c r="B14" s="13"/>
      <c r="C14" s="33" t="n">
        <f aca="false">'Txn Assumptions'!C15</f>
        <v>4875</v>
      </c>
      <c r="D14" s="40" t="n">
        <f aca="false">IF(C19=0,0,C14/C19)</f>
        <v>0.953451985135928</v>
      </c>
      <c r="E14" s="41" t="s">
        <v>101</v>
      </c>
    </row>
    <row r="15" customFormat="false" ht="15" hidden="false" customHeight="true" outlineLevel="0" collapsed="false">
      <c r="A15" s="38" t="s">
        <v>102</v>
      </c>
      <c r="B15" s="13"/>
      <c r="C15" s="39" t="n">
        <v>200</v>
      </c>
      <c r="D15" s="40" t="n">
        <f aca="false">IF(C19=0,0,C15/C19)</f>
        <v>0.0391159788773714</v>
      </c>
      <c r="E15" s="41" t="s">
        <v>90</v>
      </c>
    </row>
    <row r="16" customFormat="false" ht="15" hidden="false" customHeight="true" outlineLevel="0" collapsed="false">
      <c r="A16" s="38" t="s">
        <v>103</v>
      </c>
      <c r="B16" s="13"/>
      <c r="C16" s="33" t="n">
        <f aca="false">('Txn Assumptions'!C47+'Txn Assumptions'!C50)*0.02</f>
        <v>8</v>
      </c>
      <c r="D16" s="40" t="n">
        <f aca="false">IF(C19=0,0,C16/C19)</f>
        <v>0.00156463915509486</v>
      </c>
      <c r="E16" s="41" t="s">
        <v>104</v>
      </c>
    </row>
    <row r="17" customFormat="false" ht="15" hidden="false" customHeight="true" outlineLevel="0" collapsed="false">
      <c r="A17" s="38" t="s">
        <v>105</v>
      </c>
      <c r="B17" s="13"/>
      <c r="C17" s="39" t="n">
        <v>25</v>
      </c>
      <c r="D17" s="40" t="n">
        <f aca="false">IF(C19=0,0,C17/C19)</f>
        <v>0.00488949735967143</v>
      </c>
      <c r="E17" s="41" t="s">
        <v>90</v>
      </c>
    </row>
    <row r="18" customFormat="false" ht="15" hidden="false" customHeight="true" outlineLevel="0" collapsed="false">
      <c r="A18" s="38" t="s">
        <v>106</v>
      </c>
      <c r="B18" s="13"/>
      <c r="C18" s="39" t="n">
        <v>5</v>
      </c>
      <c r="D18" s="40" t="n">
        <f aca="false">IF(C19=0,0,C18/C19)</f>
        <v>0.000977899471934285</v>
      </c>
      <c r="E18" s="41" t="s">
        <v>90</v>
      </c>
    </row>
    <row r="19" customFormat="false" ht="15" hidden="false" customHeight="true" outlineLevel="0" collapsed="false">
      <c r="A19" s="43" t="s">
        <v>107</v>
      </c>
      <c r="B19" s="13"/>
      <c r="C19" s="44" t="n">
        <f aca="false">SUM(C14:C18)</f>
        <v>5113</v>
      </c>
      <c r="D19" s="45" t="str">
        <f aca="false">"100.0%"</f>
        <v>100.0%</v>
      </c>
    </row>
    <row r="20" customFormat="false" ht="15" hidden="false" customHeight="true" outlineLevel="0" collapsed="false">
      <c r="A20" s="13"/>
      <c r="B20" s="13"/>
      <c r="C20" s="46"/>
      <c r="D20" s="47"/>
    </row>
    <row r="21" customFormat="false" ht="15" hidden="false" customHeight="true" outlineLevel="0" collapsed="false">
      <c r="A21" s="48" t="s">
        <v>108</v>
      </c>
      <c r="B21" s="48"/>
      <c r="C21" s="48"/>
      <c r="D21" s="48"/>
    </row>
    <row r="22" customFormat="false" ht="15" hidden="false" customHeight="true" outlineLevel="0" collapsed="false">
      <c r="A22" s="43" t="s">
        <v>109</v>
      </c>
      <c r="B22" s="13"/>
      <c r="C22" s="49" t="n">
        <f aca="false">C11-C19</f>
        <v>0</v>
      </c>
      <c r="D22" s="13"/>
    </row>
    <row r="23" customFormat="false" ht="15" hidden="false" customHeight="true" outlineLevel="0" collapsed="false">
      <c r="A23" s="50" t="s">
        <v>110</v>
      </c>
      <c r="B23" s="50"/>
      <c r="C23" s="50"/>
      <c r="D23" s="50"/>
      <c r="E23" s="50"/>
    </row>
    <row r="24" customFormat="false" ht="15" hidden="false" customHeight="true" outlineLevel="0" collapsed="false">
      <c r="A24" s="13"/>
      <c r="B24" s="13"/>
      <c r="C24" s="13"/>
      <c r="D24" s="13"/>
    </row>
    <row r="25" customFormat="false" ht="15" hidden="false" customHeight="true" outlineLevel="0" collapsed="false">
      <c r="A25" s="51" t="s">
        <v>111</v>
      </c>
      <c r="B25" s="51"/>
      <c r="C25" s="51"/>
      <c r="D25" s="51"/>
      <c r="E25" s="51"/>
    </row>
    <row r="26" customFormat="false" ht="15" hidden="false" customHeight="true" outlineLevel="0" collapsed="false">
      <c r="A26" s="52" t="s">
        <v>112</v>
      </c>
      <c r="B26" s="52"/>
      <c r="C26" s="52"/>
      <c r="D26" s="52"/>
      <c r="E26" s="52"/>
    </row>
    <row r="27" customFormat="false" ht="15" hidden="false" customHeight="true" outlineLevel="0" collapsed="false">
      <c r="A27" s="53" t="s">
        <v>113</v>
      </c>
      <c r="B27" s="53"/>
      <c r="C27" s="53"/>
      <c r="D27" s="53"/>
      <c r="E27" s="53"/>
    </row>
    <row r="28" customFormat="false" ht="15" hidden="false" customHeight="true" outlineLevel="0" collapsed="false">
      <c r="A28" s="50" t="s">
        <v>114</v>
      </c>
      <c r="B28" s="50"/>
      <c r="C28" s="50"/>
      <c r="D28" s="50"/>
      <c r="E28" s="50"/>
    </row>
    <row r="29" customFormat="false" ht="15" hidden="false" customHeight="true" outlineLevel="0" collapsed="false">
      <c r="A29" s="13"/>
      <c r="B29" s="13"/>
      <c r="C29" s="13"/>
      <c r="D29" s="13"/>
    </row>
    <row r="30" customFormat="false" ht="15" hidden="false" customHeight="true" outlineLevel="0" collapsed="false">
      <c r="A30" s="13"/>
      <c r="B30" s="13"/>
      <c r="C30" s="13"/>
      <c r="D30" s="13"/>
    </row>
    <row r="31" customFormat="false" ht="15" hidden="false" customHeight="true" outlineLevel="0" collapsed="false">
      <c r="A31" s="13"/>
      <c r="B31" s="13"/>
      <c r="C31" s="13"/>
      <c r="D31" s="13"/>
    </row>
    <row r="32" customFormat="false" ht="15" hidden="false" customHeight="true" outlineLevel="0" collapsed="false">
      <c r="A32" s="13"/>
      <c r="B32" s="13"/>
      <c r="C32" s="13"/>
      <c r="D32" s="13"/>
    </row>
    <row r="33" customFormat="false" ht="15" hidden="false" customHeight="true" outlineLevel="0" collapsed="false">
      <c r="A33" s="13"/>
      <c r="B33" s="13"/>
      <c r="C33" s="13"/>
      <c r="D33" s="13"/>
    </row>
    <row r="34" customFormat="false" ht="15" hidden="false" customHeight="true" outlineLevel="0" collapsed="false">
      <c r="A34" s="13"/>
      <c r="B34" s="13"/>
      <c r="C34" s="13"/>
      <c r="D34" s="13"/>
    </row>
    <row r="35" customFormat="false" ht="15" hidden="false" customHeight="true" outlineLevel="0" collapsed="false">
      <c r="A35" s="13"/>
      <c r="B35" s="13"/>
      <c r="C35" s="13"/>
      <c r="D35" s="13"/>
    </row>
    <row r="36" customFormat="false" ht="15" hidden="false" customHeight="true" outlineLevel="0" collapsed="false">
      <c r="A36" s="13"/>
      <c r="B36" s="13"/>
      <c r="C36" s="13"/>
      <c r="D36" s="13"/>
    </row>
    <row r="37" customFormat="false" ht="15" hidden="false" customHeight="true" outlineLevel="0" collapsed="false">
      <c r="A37" s="13"/>
      <c r="B37" s="13"/>
      <c r="C37" s="13"/>
      <c r="D37" s="13"/>
    </row>
    <row r="38" customFormat="false" ht="15" hidden="false" customHeight="true" outlineLevel="0" collapsed="false">
      <c r="A38" s="13"/>
      <c r="B38" s="13"/>
      <c r="C38" s="13"/>
      <c r="D38" s="13"/>
    </row>
    <row r="39" customFormat="false" ht="15" hidden="false" customHeight="true" outlineLevel="0" collapsed="false">
      <c r="A39" s="13"/>
      <c r="B39" s="13"/>
      <c r="C39" s="13"/>
      <c r="D39" s="13"/>
    </row>
    <row r="40" customFormat="false" ht="15" hidden="false" customHeight="true" outlineLevel="0" collapsed="false">
      <c r="A40" s="13"/>
      <c r="B40" s="13"/>
      <c r="C40" s="13"/>
      <c r="D40" s="13"/>
    </row>
    <row r="41" customFormat="false" ht="15" hidden="false" customHeight="true" outlineLevel="0" collapsed="false">
      <c r="A41" s="13"/>
      <c r="B41" s="13"/>
      <c r="C41" s="13"/>
      <c r="D41" s="13"/>
    </row>
    <row r="42" customFormat="false" ht="15" hidden="false" customHeight="true" outlineLevel="0" collapsed="false">
      <c r="A42" s="13"/>
      <c r="B42" s="13"/>
      <c r="C42" s="13"/>
      <c r="D42" s="13"/>
    </row>
    <row r="43" customFormat="false" ht="15" hidden="false" customHeight="true" outlineLevel="0" collapsed="false">
      <c r="A43" s="13"/>
      <c r="B43" s="13"/>
      <c r="C43" s="13"/>
      <c r="D43" s="13"/>
    </row>
    <row r="44" customFormat="false" ht="15" hidden="false" customHeight="true" outlineLevel="0" collapsed="false">
      <c r="A44" s="13"/>
      <c r="B44" s="13"/>
      <c r="C44" s="13"/>
      <c r="D44" s="13"/>
    </row>
    <row r="45" customFormat="false" ht="15" hidden="false" customHeight="true" outlineLevel="0" collapsed="false">
      <c r="A45" s="13"/>
      <c r="B45" s="13"/>
      <c r="C45" s="13"/>
      <c r="D45" s="13"/>
    </row>
    <row r="46" customFormat="false" ht="15" hidden="false" customHeight="true" outlineLevel="0" collapsed="false">
      <c r="A46" s="13"/>
      <c r="B46" s="13"/>
      <c r="C46" s="13"/>
      <c r="D46" s="13"/>
    </row>
    <row r="47" customFormat="false" ht="15" hidden="false" customHeight="true" outlineLevel="0" collapsed="false">
      <c r="A47" s="13"/>
      <c r="B47" s="13"/>
      <c r="C47" s="13"/>
      <c r="D47" s="13"/>
    </row>
    <row r="48" customFormat="false" ht="15" hidden="false" customHeight="true" outlineLevel="0" collapsed="false">
      <c r="A48" s="13"/>
      <c r="B48" s="13"/>
      <c r="C48" s="13"/>
      <c r="D48" s="13"/>
    </row>
    <row r="49" customFormat="false" ht="15" hidden="false" customHeight="true" outlineLevel="0" collapsed="false">
      <c r="A49" s="13"/>
      <c r="B49" s="13"/>
      <c r="C49" s="13"/>
      <c r="D49" s="13"/>
    </row>
    <row r="50" customFormat="false" ht="15" hidden="false" customHeight="true" outlineLevel="0" collapsed="false">
      <c r="A50" s="13"/>
      <c r="B50" s="13"/>
      <c r="C50" s="13"/>
      <c r="D50" s="13"/>
    </row>
    <row r="51" customFormat="false" ht="15" hidden="false" customHeight="true" outlineLevel="0" collapsed="false">
      <c r="A51" s="13"/>
      <c r="B51" s="13"/>
      <c r="C51" s="13"/>
      <c r="D51" s="13"/>
    </row>
    <row r="52" customFormat="false" ht="15" hidden="false" customHeight="true" outlineLevel="0" collapsed="false">
      <c r="A52" s="13"/>
      <c r="B52" s="13"/>
      <c r="C52" s="13"/>
      <c r="D52" s="13"/>
    </row>
    <row r="53" customFormat="false" ht="15" hidden="false" customHeight="true" outlineLevel="0" collapsed="false">
      <c r="A53" s="13"/>
      <c r="B53" s="13"/>
      <c r="C53" s="13"/>
      <c r="D53" s="13"/>
    </row>
    <row r="54" customFormat="false" ht="15" hidden="false" customHeight="true" outlineLevel="0" collapsed="false">
      <c r="A54" s="13"/>
      <c r="B54" s="13"/>
      <c r="C54" s="13"/>
      <c r="D54" s="13"/>
    </row>
    <row r="55" customFormat="false" ht="15" hidden="false" customHeight="true" outlineLevel="0" collapsed="false">
      <c r="A55" s="13"/>
      <c r="B55" s="13"/>
      <c r="C55" s="13"/>
      <c r="D55" s="13"/>
    </row>
    <row r="56" customFormat="false" ht="15" hidden="false" customHeight="true" outlineLevel="0" collapsed="false">
      <c r="A56" s="13"/>
      <c r="B56" s="13"/>
      <c r="C56" s="13"/>
      <c r="D56" s="13"/>
    </row>
    <row r="57" customFormat="false" ht="15" hidden="false" customHeight="true" outlineLevel="0" collapsed="false">
      <c r="A57" s="13"/>
      <c r="B57" s="13"/>
      <c r="C57" s="13"/>
      <c r="D57" s="13"/>
    </row>
    <row r="58" customFormat="false" ht="15" hidden="false" customHeight="true" outlineLevel="0" collapsed="false">
      <c r="A58" s="13"/>
      <c r="B58" s="13"/>
      <c r="C58" s="13"/>
      <c r="D58" s="13"/>
    </row>
    <row r="59" customFormat="false" ht="15" hidden="false" customHeight="true" outlineLevel="0" collapsed="false">
      <c r="A59" s="13"/>
      <c r="B59" s="13"/>
      <c r="C59" s="13"/>
      <c r="D59" s="13"/>
    </row>
    <row r="60" customFormat="false" ht="15" hidden="false" customHeight="true" outlineLevel="0" collapsed="false">
      <c r="A60" s="13"/>
      <c r="B60" s="13"/>
      <c r="C60" s="13"/>
      <c r="D60" s="13"/>
    </row>
    <row r="61" customFormat="false" ht="15" hidden="false" customHeight="true" outlineLevel="0" collapsed="false">
      <c r="A61" s="13"/>
      <c r="B61" s="13"/>
      <c r="C61" s="13"/>
      <c r="D61" s="13"/>
    </row>
    <row r="62" customFormat="false" ht="15" hidden="false" customHeight="true" outlineLevel="0" collapsed="false">
      <c r="A62" s="13"/>
      <c r="B62" s="13"/>
      <c r="C62" s="13"/>
      <c r="D62" s="13"/>
    </row>
    <row r="63" customFormat="false" ht="15" hidden="false" customHeight="true" outlineLevel="0" collapsed="false">
      <c r="A63" s="13"/>
      <c r="B63" s="13"/>
      <c r="C63" s="13"/>
      <c r="D63" s="13"/>
    </row>
    <row r="64" customFormat="false" ht="15" hidden="false" customHeight="true" outlineLevel="0" collapsed="false">
      <c r="A64" s="13"/>
      <c r="B64" s="13"/>
      <c r="C64" s="13"/>
      <c r="D64" s="13"/>
    </row>
    <row r="65" customFormat="false" ht="15" hidden="false" customHeight="true" outlineLevel="0" collapsed="false">
      <c r="A65" s="13"/>
      <c r="B65" s="13"/>
      <c r="C65" s="13"/>
      <c r="D65" s="13"/>
    </row>
    <row r="66" customFormat="false" ht="15" hidden="false" customHeight="true" outlineLevel="0" collapsed="false">
      <c r="A66" s="13"/>
      <c r="B66" s="13"/>
      <c r="C66" s="13"/>
      <c r="D66" s="13"/>
    </row>
    <row r="67" customFormat="false" ht="15" hidden="false" customHeight="true" outlineLevel="0" collapsed="false">
      <c r="A67" s="13"/>
      <c r="B67" s="13"/>
      <c r="C67" s="13"/>
      <c r="D67" s="13"/>
    </row>
    <row r="68" customFormat="false" ht="15" hidden="false" customHeight="true" outlineLevel="0" collapsed="false">
      <c r="A68" s="13"/>
      <c r="B68" s="13"/>
      <c r="C68" s="13"/>
      <c r="D68" s="13"/>
    </row>
    <row r="69" customFormat="false" ht="15" hidden="false" customHeight="true" outlineLevel="0" collapsed="false">
      <c r="A69" s="13"/>
      <c r="B69" s="13"/>
      <c r="C69" s="13"/>
      <c r="D69" s="13"/>
    </row>
    <row r="70" customFormat="false" ht="15" hidden="false" customHeight="true" outlineLevel="0" collapsed="false">
      <c r="A70" s="13"/>
      <c r="B70" s="13"/>
      <c r="C70" s="13"/>
      <c r="D70" s="13"/>
    </row>
    <row r="71" customFormat="false" ht="15" hidden="false" customHeight="true" outlineLevel="0" collapsed="false">
      <c r="A71" s="13"/>
      <c r="B71" s="13"/>
      <c r="C71" s="13"/>
      <c r="D71" s="13"/>
    </row>
    <row r="72" customFormat="false" ht="15" hidden="false" customHeight="true" outlineLevel="0" collapsed="false">
      <c r="A72" s="13"/>
      <c r="B72" s="13"/>
      <c r="C72" s="13"/>
      <c r="D72" s="13"/>
    </row>
    <row r="73" customFormat="false" ht="15" hidden="false" customHeight="true" outlineLevel="0" collapsed="false">
      <c r="A73" s="13"/>
      <c r="B73" s="13"/>
      <c r="C73" s="13"/>
      <c r="D73" s="13"/>
    </row>
    <row r="74" customFormat="false" ht="15" hidden="false" customHeight="true" outlineLevel="0" collapsed="false">
      <c r="A74" s="13"/>
      <c r="B74" s="13"/>
      <c r="C74" s="13"/>
      <c r="D74" s="13"/>
    </row>
    <row r="75" customFormat="false" ht="15" hidden="false" customHeight="true" outlineLevel="0" collapsed="false">
      <c r="A75" s="13"/>
      <c r="B75" s="13"/>
      <c r="C75" s="13"/>
      <c r="D75" s="13"/>
    </row>
    <row r="76" customFormat="false" ht="15" hidden="false" customHeight="true" outlineLevel="0" collapsed="false">
      <c r="A76" s="13"/>
      <c r="B76" s="13"/>
      <c r="C76" s="13"/>
      <c r="D76" s="13"/>
    </row>
    <row r="77" customFormat="false" ht="15" hidden="false" customHeight="true" outlineLevel="0" collapsed="false">
      <c r="A77" s="13"/>
      <c r="B77" s="13"/>
      <c r="C77" s="13"/>
      <c r="D77" s="13"/>
    </row>
    <row r="78" customFormat="false" ht="15" hidden="false" customHeight="true" outlineLevel="0" collapsed="false">
      <c r="A78" s="13"/>
      <c r="B78" s="13"/>
      <c r="C78" s="13"/>
      <c r="D78" s="13"/>
    </row>
    <row r="79" customFormat="false" ht="15" hidden="false" customHeight="true" outlineLevel="0" collapsed="false">
      <c r="A79" s="13"/>
      <c r="B79" s="13"/>
      <c r="C79" s="13"/>
      <c r="D79" s="13"/>
    </row>
    <row r="80" customFormat="false" ht="15" hidden="false" customHeight="true" outlineLevel="0" collapsed="false">
      <c r="A80" s="13"/>
      <c r="B80" s="13"/>
      <c r="C80" s="13"/>
      <c r="D80" s="13"/>
    </row>
    <row r="81" customFormat="false" ht="15" hidden="false" customHeight="true" outlineLevel="0" collapsed="false">
      <c r="A81" s="13"/>
      <c r="B81" s="13"/>
      <c r="C81" s="13"/>
      <c r="D81" s="13"/>
    </row>
    <row r="82" customFormat="false" ht="15" hidden="false" customHeight="true" outlineLevel="0" collapsed="false">
      <c r="A82" s="13"/>
      <c r="B82" s="13"/>
      <c r="C82" s="13"/>
      <c r="D82" s="13"/>
    </row>
    <row r="83" customFormat="false" ht="15" hidden="false" customHeight="true" outlineLevel="0" collapsed="false">
      <c r="A83" s="13"/>
      <c r="B83" s="13"/>
      <c r="C83" s="13"/>
      <c r="D83" s="13"/>
    </row>
    <row r="84" customFormat="false" ht="15" hidden="false" customHeight="true" outlineLevel="0" collapsed="false">
      <c r="A84" s="13"/>
      <c r="B84" s="13"/>
      <c r="C84" s="13"/>
      <c r="D84" s="13"/>
    </row>
    <row r="85" customFormat="false" ht="15" hidden="false" customHeight="true" outlineLevel="0" collapsed="false">
      <c r="A85" s="13"/>
      <c r="B85" s="13"/>
      <c r="C85" s="13"/>
      <c r="D85" s="13"/>
    </row>
    <row r="86" customFormat="false" ht="15" hidden="false" customHeight="true" outlineLevel="0" collapsed="false">
      <c r="A86" s="13"/>
      <c r="B86" s="13"/>
      <c r="C86" s="13"/>
      <c r="D86" s="13"/>
    </row>
    <row r="87" customFormat="false" ht="15" hidden="false" customHeight="true" outlineLevel="0" collapsed="false">
      <c r="A87" s="13"/>
      <c r="B87" s="13"/>
      <c r="C87" s="13"/>
      <c r="D87" s="13"/>
    </row>
    <row r="88" customFormat="false" ht="15" hidden="false" customHeight="true" outlineLevel="0" collapsed="false">
      <c r="A88" s="13"/>
      <c r="B88" s="13"/>
      <c r="C88" s="13"/>
      <c r="D88" s="13"/>
    </row>
    <row r="89" customFormat="false" ht="15" hidden="false" customHeight="true" outlineLevel="0" collapsed="false">
      <c r="A89" s="13"/>
      <c r="B89" s="13"/>
      <c r="C89" s="13"/>
      <c r="D89" s="13"/>
    </row>
    <row r="90" customFormat="false" ht="15" hidden="false" customHeight="true" outlineLevel="0" collapsed="false">
      <c r="A90" s="13"/>
      <c r="B90" s="13"/>
      <c r="C90" s="13"/>
      <c r="D90" s="13"/>
    </row>
    <row r="91" customFormat="false" ht="15" hidden="false" customHeight="true" outlineLevel="0" collapsed="false">
      <c r="A91" s="13"/>
      <c r="B91" s="13"/>
      <c r="C91" s="13"/>
      <c r="D91" s="13"/>
    </row>
    <row r="92" customFormat="false" ht="15" hidden="false" customHeight="true" outlineLevel="0" collapsed="false">
      <c r="A92" s="13"/>
      <c r="B92" s="13"/>
      <c r="C92" s="13"/>
      <c r="D92" s="13"/>
    </row>
    <row r="93" customFormat="false" ht="15" hidden="false" customHeight="true" outlineLevel="0" collapsed="false">
      <c r="A93" s="13"/>
      <c r="B93" s="13"/>
      <c r="C93" s="13"/>
      <c r="D93" s="13"/>
    </row>
    <row r="94" customFormat="false" ht="15" hidden="false" customHeight="true" outlineLevel="0" collapsed="false">
      <c r="A94" s="13"/>
      <c r="B94" s="13"/>
      <c r="C94" s="13"/>
      <c r="D94" s="13"/>
    </row>
    <row r="95" customFormat="false" ht="15" hidden="false" customHeight="true" outlineLevel="0" collapsed="false">
      <c r="A95" s="13"/>
      <c r="B95" s="13"/>
      <c r="C95" s="13"/>
      <c r="D95" s="13"/>
    </row>
    <row r="96" customFormat="false" ht="15" hidden="false" customHeight="true" outlineLevel="0" collapsed="false">
      <c r="A96" s="13"/>
      <c r="B96" s="13"/>
      <c r="C96" s="13"/>
      <c r="D96" s="13"/>
    </row>
    <row r="97" customFormat="false" ht="15" hidden="false" customHeight="true" outlineLevel="0" collapsed="false">
      <c r="A97" s="13"/>
      <c r="B97" s="13"/>
      <c r="C97" s="13"/>
      <c r="D97" s="13"/>
    </row>
    <row r="98" customFormat="false" ht="15" hidden="false" customHeight="true" outlineLevel="0" collapsed="false">
      <c r="A98" s="13"/>
      <c r="B98" s="13"/>
      <c r="C98" s="13"/>
      <c r="D98" s="13"/>
    </row>
    <row r="99" customFormat="false" ht="15" hidden="false" customHeight="true" outlineLevel="0" collapsed="false">
      <c r="A99" s="13"/>
      <c r="B99" s="13"/>
      <c r="C99" s="13"/>
      <c r="D99" s="13"/>
    </row>
    <row r="100" customFormat="false" ht="15" hidden="false" customHeight="true" outlineLevel="0" collapsed="false">
      <c r="A100" s="13"/>
      <c r="B100" s="13"/>
      <c r="C100" s="13"/>
      <c r="D100" s="13"/>
    </row>
  </sheetData>
  <mergeCells count="7">
    <mergeCell ref="A2:E2"/>
    <mergeCell ref="A21:D21"/>
    <mergeCell ref="A23:E23"/>
    <mergeCell ref="A25:E25"/>
    <mergeCell ref="A26:E26"/>
    <mergeCell ref="A27:E27"/>
    <mergeCell ref="A28:E28"/>
  </mergeCells>
  <conditionalFormatting sqref="C23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C22">
    <cfRule type="cellIs" priority="4" operator="equal" aboveAverage="0" equalAverage="0" bottom="0" percent="0" rank="0" text="" dxfId="2">
      <formula>0</formula>
    </cfRule>
    <cfRule type="cellIs" priority="5" operator="not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"/>
    <col collapsed="false" customWidth="true" hidden="false" outlineLevel="0" max="4" min="3" style="1" width="20"/>
    <col collapsed="false" customWidth="true" hidden="false" outlineLevel="0" max="5" min="5" style="1" width="5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54" t="s">
        <v>115</v>
      </c>
      <c r="B2" s="54"/>
      <c r="C2" s="54"/>
      <c r="D2" s="54"/>
    </row>
    <row r="3" customFormat="false" ht="4.5" hidden="false" customHeight="true" outlineLevel="0" collapsed="false"/>
    <row r="5" customFormat="false" ht="15" hidden="false" customHeight="true" outlineLevel="0" collapsed="false">
      <c r="A5" s="55" t="s">
        <v>116</v>
      </c>
      <c r="C5" s="56" t="s">
        <v>117</v>
      </c>
      <c r="D5" s="56" t="s">
        <v>118</v>
      </c>
    </row>
    <row r="6" customFormat="false" ht="15" hidden="false" customHeight="true" outlineLevel="0" collapsed="false">
      <c r="A6" s="11" t="s">
        <v>119</v>
      </c>
      <c r="B6" s="11"/>
      <c r="C6" s="11"/>
      <c r="D6" s="11"/>
    </row>
    <row r="7" customFormat="false" ht="15" hidden="false" customHeight="true" outlineLevel="0" collapsed="false">
      <c r="A7" s="38" t="s">
        <v>120</v>
      </c>
      <c r="C7" s="33" t="n">
        <f aca="false">'Txn Assumptions'!C15</f>
        <v>4875</v>
      </c>
    </row>
    <row r="8" customFormat="false" ht="15" hidden="false" customHeight="true" outlineLevel="0" collapsed="false">
      <c r="A8" s="38" t="s">
        <v>121</v>
      </c>
      <c r="C8" s="33" t="n">
        <f aca="false">'Txn Assumptions'!C16</f>
        <v>200</v>
      </c>
    </row>
    <row r="9" customFormat="false" ht="15" hidden="false" customHeight="true" outlineLevel="0" collapsed="false">
      <c r="A9" s="38" t="s">
        <v>122</v>
      </c>
      <c r="C9" s="33" t="n">
        <f aca="false">-'Txn Assumptions'!C17</f>
        <v>-80</v>
      </c>
    </row>
    <row r="10" customFormat="false" ht="15" hidden="false" customHeight="true" outlineLevel="0" collapsed="false">
      <c r="A10" s="57" t="s">
        <v>123</v>
      </c>
      <c r="B10" s="58"/>
      <c r="C10" s="44" t="n">
        <f aca="false">C7+C8+C9</f>
        <v>4995</v>
      </c>
      <c r="D10" s="58"/>
    </row>
    <row r="12" customFormat="false" ht="15" hidden="false" customHeight="true" outlineLevel="0" collapsed="false">
      <c r="A12" s="11" t="s">
        <v>124</v>
      </c>
      <c r="B12" s="11"/>
      <c r="C12" s="11"/>
      <c r="D12" s="11"/>
    </row>
    <row r="13" customFormat="false" ht="15" hidden="false" customHeight="true" outlineLevel="0" collapsed="false">
      <c r="A13" s="38" t="s">
        <v>125</v>
      </c>
      <c r="C13" s="39" t="n">
        <v>80</v>
      </c>
    </row>
    <row r="14" customFormat="false" ht="15" hidden="false" customHeight="true" outlineLevel="0" collapsed="false">
      <c r="A14" s="38" t="s">
        <v>126</v>
      </c>
      <c r="C14" s="39" t="n">
        <v>60</v>
      </c>
    </row>
    <row r="15" customFormat="false" ht="15" hidden="false" customHeight="true" outlineLevel="0" collapsed="false">
      <c r="A15" s="38" t="s">
        <v>127</v>
      </c>
      <c r="C15" s="39" t="n">
        <v>45</v>
      </c>
    </row>
    <row r="16" customFormat="false" ht="15" hidden="false" customHeight="true" outlineLevel="0" collapsed="false">
      <c r="A16" s="38" t="s">
        <v>128</v>
      </c>
      <c r="C16" s="39" t="n">
        <v>15</v>
      </c>
    </row>
    <row r="17" customFormat="false" ht="15" hidden="false" customHeight="true" outlineLevel="0" collapsed="false">
      <c r="A17" s="38" t="s">
        <v>129</v>
      </c>
      <c r="C17" s="39" t="n">
        <v>120</v>
      </c>
    </row>
    <row r="18" customFormat="false" ht="15" hidden="false" customHeight="true" outlineLevel="0" collapsed="false">
      <c r="A18" s="38" t="s">
        <v>130</v>
      </c>
      <c r="C18" s="39" t="n">
        <v>30</v>
      </c>
    </row>
    <row r="19" customFormat="false" ht="15" hidden="false" customHeight="true" outlineLevel="0" collapsed="false">
      <c r="A19" s="38" t="s">
        <v>131</v>
      </c>
      <c r="C19" s="39" t="n">
        <v>10</v>
      </c>
    </row>
    <row r="20" customFormat="false" ht="15" hidden="false" customHeight="true" outlineLevel="0" collapsed="false">
      <c r="A20" s="38" t="s">
        <v>132</v>
      </c>
      <c r="C20" s="39" t="n">
        <v>-40</v>
      </c>
    </row>
    <row r="21" customFormat="false" ht="15" hidden="false" customHeight="true" outlineLevel="0" collapsed="false">
      <c r="A21" s="38" t="s">
        <v>133</v>
      </c>
      <c r="C21" s="39" t="n">
        <v>-25</v>
      </c>
    </row>
    <row r="22" customFormat="false" ht="15" hidden="false" customHeight="true" outlineLevel="0" collapsed="false">
      <c r="A22" s="38" t="s">
        <v>134</v>
      </c>
      <c r="C22" s="39" t="n">
        <v>-10</v>
      </c>
    </row>
    <row r="23" customFormat="false" ht="15" hidden="false" customHeight="true" outlineLevel="0" collapsed="false">
      <c r="A23" s="38" t="s">
        <v>135</v>
      </c>
      <c r="C23" s="39" t="n">
        <v>-200</v>
      </c>
    </row>
    <row r="24" customFormat="false" ht="15" hidden="false" customHeight="true" outlineLevel="0" collapsed="false">
      <c r="A24" s="38" t="s">
        <v>136</v>
      </c>
      <c r="C24" s="39" t="n">
        <v>-15</v>
      </c>
    </row>
    <row r="25" customFormat="false" ht="15" hidden="false" customHeight="true" outlineLevel="0" collapsed="false">
      <c r="A25" s="57" t="s">
        <v>137</v>
      </c>
      <c r="B25" s="58"/>
      <c r="C25" s="44" t="n">
        <f aca="false">SUM(C13:C24)</f>
        <v>70</v>
      </c>
      <c r="D25" s="58"/>
    </row>
    <row r="27" customFormat="false" ht="15" hidden="false" customHeight="true" outlineLevel="0" collapsed="false">
      <c r="A27" s="11" t="s">
        <v>138</v>
      </c>
      <c r="B27" s="11"/>
      <c r="C27" s="11"/>
      <c r="D27" s="11"/>
    </row>
    <row r="28" customFormat="false" ht="15" hidden="false" customHeight="true" outlineLevel="0" collapsed="false">
      <c r="A28" s="38" t="s">
        <v>139</v>
      </c>
      <c r="D28" s="39" t="n">
        <v>30</v>
      </c>
    </row>
    <row r="29" customFormat="false" ht="15" hidden="false" customHeight="true" outlineLevel="0" collapsed="false">
      <c r="A29" s="38" t="s">
        <v>140</v>
      </c>
      <c r="D29" s="39" t="n">
        <v>5</v>
      </c>
    </row>
    <row r="30" customFormat="false" ht="15" hidden="false" customHeight="true" outlineLevel="0" collapsed="false">
      <c r="A30" s="38" t="s">
        <v>141</v>
      </c>
      <c r="D30" s="39" t="n">
        <v>80</v>
      </c>
    </row>
    <row r="31" customFormat="false" ht="15" hidden="false" customHeight="true" outlineLevel="0" collapsed="false">
      <c r="A31" s="38" t="s">
        <v>142</v>
      </c>
      <c r="D31" s="39" t="n">
        <v>50</v>
      </c>
    </row>
    <row r="32" customFormat="false" ht="15" hidden="false" customHeight="true" outlineLevel="0" collapsed="false">
      <c r="A32" s="38" t="s">
        <v>143</v>
      </c>
      <c r="D32" s="39" t="n">
        <v>20</v>
      </c>
    </row>
    <row r="33" customFormat="false" ht="15" hidden="false" customHeight="true" outlineLevel="0" collapsed="false">
      <c r="A33" s="38" t="s">
        <v>144</v>
      </c>
      <c r="D33" s="39" t="n">
        <v>10</v>
      </c>
    </row>
    <row r="34" customFormat="false" ht="15" hidden="false" customHeight="true" outlineLevel="0" collapsed="false">
      <c r="A34" s="38" t="s">
        <v>145</v>
      </c>
      <c r="D34" s="39" t="n">
        <v>-5</v>
      </c>
    </row>
    <row r="35" customFormat="false" ht="15" hidden="false" customHeight="true" outlineLevel="0" collapsed="false">
      <c r="A35" s="59" t="s">
        <v>146</v>
      </c>
      <c r="D35" s="60" t="n">
        <f aca="false">-(PPA!D28+PPA!D30+PPA!D31+PPA!D32+PPA!D33)*'Txn Assumptions'!C59</f>
        <v>-47.5</v>
      </c>
    </row>
    <row r="36" customFormat="false" ht="15" hidden="false" customHeight="true" outlineLevel="0" collapsed="false">
      <c r="A36" s="57" t="s">
        <v>147</v>
      </c>
      <c r="B36" s="58"/>
      <c r="C36" s="58"/>
      <c r="D36" s="44" t="n">
        <f aca="false">SUM(D28:D35)</f>
        <v>142.5</v>
      </c>
    </row>
    <row r="38" customFormat="false" ht="15" hidden="false" customHeight="true" outlineLevel="0" collapsed="false">
      <c r="A38" s="61" t="s">
        <v>148</v>
      </c>
      <c r="B38" s="61"/>
      <c r="C38" s="61"/>
      <c r="D38" s="61"/>
    </row>
    <row r="39" customFormat="false" ht="15" hidden="false" customHeight="true" outlineLevel="0" collapsed="false">
      <c r="A39" s="38" t="s">
        <v>149</v>
      </c>
      <c r="C39" s="33" t="n">
        <f aca="false">C10</f>
        <v>4995</v>
      </c>
    </row>
    <row r="40" customFormat="false" ht="15" hidden="false" customHeight="true" outlineLevel="0" collapsed="false">
      <c r="A40" s="38" t="s">
        <v>150</v>
      </c>
      <c r="C40" s="62" t="n">
        <f aca="false">-C25</f>
        <v>-70</v>
      </c>
    </row>
    <row r="41" customFormat="false" ht="15" hidden="false" customHeight="true" outlineLevel="0" collapsed="false">
      <c r="A41" s="38" t="s">
        <v>151</v>
      </c>
      <c r="C41" s="62" t="n">
        <f aca="false">-D36</f>
        <v>-142.5</v>
      </c>
    </row>
    <row r="42" customFormat="false" ht="15" hidden="false" customHeight="true" outlineLevel="0" collapsed="false">
      <c r="A42" s="57" t="s">
        <v>152</v>
      </c>
      <c r="B42" s="58"/>
      <c r="C42" s="63" t="n">
        <f aca="false">C39+C40+C41</f>
        <v>4782.5</v>
      </c>
      <c r="D42" s="58"/>
    </row>
    <row r="44" customFormat="false" ht="15" hidden="false" customHeight="true" outlineLevel="0" collapsed="false">
      <c r="A44" s="11" t="s">
        <v>153</v>
      </c>
      <c r="B44" s="11"/>
      <c r="C44" s="11"/>
      <c r="D44" s="11"/>
    </row>
    <row r="45" customFormat="false" ht="15" hidden="false" customHeight="true" outlineLevel="0" collapsed="false">
      <c r="A45" s="64" t="s">
        <v>154</v>
      </c>
      <c r="C45" s="65" t="s">
        <v>155</v>
      </c>
      <c r="D45" s="65" t="s">
        <v>156</v>
      </c>
    </row>
    <row r="46" customFormat="false" ht="15" hidden="false" customHeight="true" outlineLevel="0" collapsed="false">
      <c r="A46" s="38" t="s">
        <v>141</v>
      </c>
      <c r="C46" s="39" t="n">
        <v>80</v>
      </c>
      <c r="D46" s="62" t="n">
        <f aca="false">C46/12</f>
        <v>6.66666666666667</v>
      </c>
    </row>
    <row r="47" customFormat="false" ht="15" hidden="false" customHeight="true" outlineLevel="0" collapsed="false">
      <c r="A47" s="38" t="s">
        <v>142</v>
      </c>
      <c r="C47" s="39" t="n">
        <v>50</v>
      </c>
      <c r="D47" s="62" t="n">
        <f aca="false">C47/7</f>
        <v>7.14285714285714</v>
      </c>
    </row>
    <row r="48" customFormat="false" ht="15" hidden="false" customHeight="true" outlineLevel="0" collapsed="false">
      <c r="A48" s="38" t="s">
        <v>143</v>
      </c>
      <c r="C48" s="39" t="n">
        <v>20</v>
      </c>
      <c r="D48" s="62" t="n">
        <f aca="false">C48/10</f>
        <v>2</v>
      </c>
    </row>
    <row r="49" customFormat="false" ht="15" hidden="false" customHeight="true" outlineLevel="0" collapsed="false">
      <c r="A49" s="38" t="s">
        <v>144</v>
      </c>
      <c r="C49" s="39" t="n">
        <v>10</v>
      </c>
      <c r="D49" s="62" t="n">
        <f aca="false">C49/3</f>
        <v>3.33333333333333</v>
      </c>
    </row>
    <row r="50" customFormat="false" ht="15" hidden="false" customHeight="true" outlineLevel="0" collapsed="false">
      <c r="A50" s="57" t="s">
        <v>157</v>
      </c>
      <c r="B50" s="58"/>
      <c r="C50" s="44" t="n">
        <f aca="false">SUM(C46:C49)</f>
        <v>160</v>
      </c>
      <c r="D50" s="44" t="n">
        <f aca="false">SUM(D46:D49)</f>
        <v>19.1428571428571</v>
      </c>
    </row>
    <row r="52" customFormat="false" ht="15" hidden="false" customHeight="false" outlineLevel="0" collapsed="false">
      <c r="A52" s="51" t="s">
        <v>158</v>
      </c>
      <c r="B52" s="51"/>
      <c r="C52" s="51"/>
      <c r="D52" s="51"/>
    </row>
    <row r="53" customFormat="false" ht="15" hidden="false" customHeight="false" outlineLevel="0" collapsed="false">
      <c r="A53" s="66" t="s">
        <v>159</v>
      </c>
      <c r="C53" s="65" t="s">
        <v>160</v>
      </c>
      <c r="D53" s="65" t="s">
        <v>161</v>
      </c>
    </row>
    <row r="54" customFormat="false" ht="15" hidden="false" customHeight="false" outlineLevel="0" collapsed="false">
      <c r="A54" s="67" t="s">
        <v>162</v>
      </c>
      <c r="C54" s="68" t="n">
        <f aca="false">D28</f>
        <v>30</v>
      </c>
      <c r="D54" s="69" t="n">
        <f aca="false">C54*'Txn Assumptions'!C59</f>
        <v>7.5</v>
      </c>
    </row>
    <row r="55" customFormat="false" ht="15" hidden="false" customHeight="false" outlineLevel="0" collapsed="false">
      <c r="A55" s="67" t="s">
        <v>163</v>
      </c>
      <c r="C55" s="68" t="n">
        <f aca="false">D30</f>
        <v>80</v>
      </c>
      <c r="D55" s="69" t="n">
        <f aca="false">C55*'Txn Assumptions'!C59</f>
        <v>20</v>
      </c>
    </row>
    <row r="56" customFormat="false" ht="15" hidden="false" customHeight="false" outlineLevel="0" collapsed="false">
      <c r="A56" s="67" t="s">
        <v>164</v>
      </c>
      <c r="C56" s="68" t="n">
        <f aca="false">D31</f>
        <v>50</v>
      </c>
      <c r="D56" s="69" t="n">
        <f aca="false">C56*'Txn Assumptions'!C59</f>
        <v>12.5</v>
      </c>
    </row>
    <row r="57" customFormat="false" ht="15" hidden="false" customHeight="false" outlineLevel="0" collapsed="false">
      <c r="A57" s="67" t="s">
        <v>165</v>
      </c>
      <c r="C57" s="68" t="n">
        <f aca="false">D32</f>
        <v>20</v>
      </c>
      <c r="D57" s="69" t="n">
        <f aca="false">C57*'Txn Assumptions'!C59</f>
        <v>5</v>
      </c>
    </row>
    <row r="58" customFormat="false" ht="15" hidden="false" customHeight="false" outlineLevel="0" collapsed="false">
      <c r="A58" s="67" t="s">
        <v>166</v>
      </c>
      <c r="C58" s="68" t="n">
        <f aca="false">D33</f>
        <v>10</v>
      </c>
      <c r="D58" s="69" t="n">
        <f aca="false">C58*'Txn Assumptions'!C59</f>
        <v>2.5</v>
      </c>
    </row>
    <row r="59" customFormat="false" ht="15" hidden="false" customHeight="false" outlineLevel="0" collapsed="false">
      <c r="A59" s="70" t="s">
        <v>167</v>
      </c>
      <c r="C59" s="71" t="n">
        <f aca="false">SUM(C54:C58)</f>
        <v>190</v>
      </c>
      <c r="D59" s="72" t="n">
        <f aca="false">SUM(D54:D58)</f>
        <v>47.5</v>
      </c>
    </row>
    <row r="60" customFormat="false" ht="15" hidden="false" customHeight="false" outlineLevel="0" collapsed="false">
      <c r="A60" s="73" t="s">
        <v>168</v>
      </c>
      <c r="B60" s="73"/>
      <c r="C60" s="73"/>
      <c r="D60" s="73"/>
    </row>
  </sheetData>
  <mergeCells count="8">
    <mergeCell ref="A2:D2"/>
    <mergeCell ref="A6:D6"/>
    <mergeCell ref="A12:D12"/>
    <mergeCell ref="A27:D27"/>
    <mergeCell ref="A38:D38"/>
    <mergeCell ref="A44:D44"/>
    <mergeCell ref="A52:D52"/>
    <mergeCell ref="A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CA8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"/>
    <col collapsed="false" customWidth="true" hidden="false" outlineLevel="0" max="8" min="3" style="1" width="14"/>
    <col collapsed="false" customWidth="true" hidden="false" outlineLevel="0" max="9" min="9" style="1" width="10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54" t="s">
        <v>169</v>
      </c>
      <c r="B2" s="54"/>
      <c r="C2" s="54"/>
      <c r="D2" s="54"/>
      <c r="E2" s="54"/>
      <c r="F2" s="54"/>
      <c r="G2" s="54"/>
      <c r="H2" s="54"/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30" hidden="false" customHeight="true" outlineLevel="0" collapsed="false">
      <c r="A5" s="9" t="s">
        <v>170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10" t="s">
        <v>31</v>
      </c>
    </row>
    <row r="7" customFormat="false" ht="15" hidden="false" customHeight="true" outlineLevel="0" collapsed="false">
      <c r="A7" s="11" t="s">
        <v>171</v>
      </c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12" t="s">
        <v>172</v>
      </c>
      <c r="C8" s="22" t="n">
        <v>1500</v>
      </c>
      <c r="D8" s="22" t="n">
        <v>1620</v>
      </c>
      <c r="E8" s="22" t="n">
        <v>1750</v>
      </c>
      <c r="F8" s="22" t="n">
        <v>1890</v>
      </c>
      <c r="G8" s="22" t="n">
        <v>2040</v>
      </c>
      <c r="H8" s="22" t="n">
        <v>2200</v>
      </c>
    </row>
    <row r="9" customFormat="false" ht="15" hidden="false" customHeight="true" outlineLevel="0" collapsed="false">
      <c r="A9" s="30" t="s">
        <v>173</v>
      </c>
      <c r="C9" s="74" t="s">
        <v>174</v>
      </c>
      <c r="D9" s="24" t="n">
        <f aca="false">D8/C8-1</f>
        <v>0.0800000000000001</v>
      </c>
      <c r="E9" s="24" t="n">
        <f aca="false">E8/D8-1</f>
        <v>0.0802469135802468</v>
      </c>
      <c r="F9" s="24" t="n">
        <f aca="false">F8/E8-1</f>
        <v>0.0800000000000001</v>
      </c>
      <c r="G9" s="24" t="n">
        <f aca="false">G8/F8-1</f>
        <v>0.0793650793650793</v>
      </c>
      <c r="H9" s="24" t="n">
        <f aca="false">H8/G8-1</f>
        <v>0.0784313725490196</v>
      </c>
    </row>
    <row r="10" customFormat="false" ht="15" hidden="false" customHeight="true" outlineLevel="0" collapsed="false">
      <c r="A10" s="12" t="s">
        <v>175</v>
      </c>
      <c r="C10" s="25" t="n">
        <f aca="false">-C8*0.6</f>
        <v>-900</v>
      </c>
      <c r="D10" s="25" t="n">
        <f aca="false">-D8*0.6</f>
        <v>-972</v>
      </c>
      <c r="E10" s="25" t="n">
        <f aca="false">-E8*0.6</f>
        <v>-1050</v>
      </c>
      <c r="F10" s="25" t="n">
        <f aca="false">-F8*0.6</f>
        <v>-1134</v>
      </c>
      <c r="G10" s="25" t="n">
        <f aca="false">-G8*0.6</f>
        <v>-1224</v>
      </c>
      <c r="H10" s="25" t="n">
        <f aca="false">-H8*0.6</f>
        <v>-1320</v>
      </c>
    </row>
    <row r="11" customFormat="false" ht="15" hidden="false" customHeight="true" outlineLevel="0" collapsed="false">
      <c r="A11" s="19" t="s">
        <v>176</v>
      </c>
      <c r="B11" s="58"/>
      <c r="C11" s="21" t="n">
        <f aca="false">C8+C10</f>
        <v>600</v>
      </c>
      <c r="D11" s="21" t="n">
        <f aca="false">D8+D10</f>
        <v>648</v>
      </c>
      <c r="E11" s="21" t="n">
        <f aca="false">E8+E10</f>
        <v>700</v>
      </c>
      <c r="F11" s="21" t="n">
        <f aca="false">F8+F10</f>
        <v>756</v>
      </c>
      <c r="G11" s="21" t="n">
        <f aca="false">G8+G10</f>
        <v>816</v>
      </c>
      <c r="H11" s="21" t="n">
        <f aca="false">H8+H10</f>
        <v>880</v>
      </c>
      <c r="I11" s="58"/>
    </row>
    <row r="12" customFormat="false" ht="15" hidden="false" customHeight="true" outlineLevel="0" collapsed="false">
      <c r="A12" s="30" t="s">
        <v>177</v>
      </c>
      <c r="C12" s="24" t="n">
        <f aca="false">C11/C8</f>
        <v>0.4</v>
      </c>
      <c r="D12" s="24" t="n">
        <f aca="false">D11/D8</f>
        <v>0.4</v>
      </c>
      <c r="E12" s="24" t="n">
        <f aca="false">E11/E8</f>
        <v>0.4</v>
      </c>
      <c r="F12" s="24" t="n">
        <f aca="false">F11/F8</f>
        <v>0.4</v>
      </c>
      <c r="G12" s="24" t="n">
        <f aca="false">G11/G8</f>
        <v>0.4</v>
      </c>
      <c r="H12" s="24" t="n">
        <f aca="false">H11/H8</f>
        <v>0.4</v>
      </c>
    </row>
    <row r="13" customFormat="false" ht="15" hidden="false" customHeight="true" outlineLevel="0" collapsed="false">
      <c r="A13" s="75" t="s">
        <v>178</v>
      </c>
      <c r="B13" s="75"/>
      <c r="C13" s="75"/>
      <c r="D13" s="75"/>
      <c r="E13" s="75"/>
      <c r="F13" s="75"/>
      <c r="G13" s="75"/>
      <c r="H13" s="75"/>
      <c r="I13" s="75"/>
    </row>
    <row r="14" customFormat="false" ht="15" hidden="false" customHeight="true" outlineLevel="0" collapsed="false">
      <c r="A14" s="12" t="s">
        <v>179</v>
      </c>
      <c r="C14" s="25" t="n">
        <f aca="false">-C8*0.08</f>
        <v>-120</v>
      </c>
      <c r="D14" s="25" t="n">
        <f aca="false">-D8*0.08</f>
        <v>-129.6</v>
      </c>
      <c r="E14" s="25" t="n">
        <f aca="false">-E8*0.08</f>
        <v>-140</v>
      </c>
      <c r="F14" s="25" t="n">
        <f aca="false">-F8*0.08</f>
        <v>-151.2</v>
      </c>
      <c r="G14" s="25" t="n">
        <f aca="false">-G8*0.08</f>
        <v>-163.2</v>
      </c>
      <c r="H14" s="25" t="n">
        <f aca="false">-H8*0.08</f>
        <v>-176</v>
      </c>
    </row>
    <row r="15" customFormat="false" ht="15" hidden="false" customHeight="true" outlineLevel="0" collapsed="false">
      <c r="A15" s="12" t="s">
        <v>180</v>
      </c>
      <c r="C15" s="25" t="n">
        <f aca="false">-C8*0.12</f>
        <v>-180</v>
      </c>
      <c r="D15" s="25" t="n">
        <f aca="false">-D8*0.12</f>
        <v>-194.4</v>
      </c>
      <c r="E15" s="25" t="n">
        <f aca="false">-E8*0.12</f>
        <v>-210</v>
      </c>
      <c r="F15" s="25" t="n">
        <f aca="false">-F8*0.12</f>
        <v>-226.8</v>
      </c>
      <c r="G15" s="25" t="n">
        <f aca="false">-G8*0.12</f>
        <v>-244.8</v>
      </c>
      <c r="H15" s="25" t="n">
        <f aca="false">-H8*0.12</f>
        <v>-264</v>
      </c>
    </row>
    <row r="16" customFormat="false" ht="15" hidden="false" customHeight="true" outlineLevel="0" collapsed="false">
      <c r="A16" s="12" t="s">
        <v>181</v>
      </c>
      <c r="C16" s="25" t="n">
        <f aca="false">-C8*0.04</f>
        <v>-60</v>
      </c>
      <c r="D16" s="25" t="n">
        <f aca="false">-D8*0.04</f>
        <v>-64.8</v>
      </c>
      <c r="E16" s="25" t="n">
        <f aca="false">-E8*0.04</f>
        <v>-70</v>
      </c>
      <c r="F16" s="25" t="n">
        <f aca="false">-F8*0.04</f>
        <v>-75.6</v>
      </c>
      <c r="G16" s="25" t="n">
        <f aca="false">-G8*0.04</f>
        <v>-81.6</v>
      </c>
      <c r="H16" s="25" t="n">
        <f aca="false">-H8*0.04</f>
        <v>-88</v>
      </c>
    </row>
    <row r="17" customFormat="false" ht="15" hidden="false" customHeight="true" outlineLevel="0" collapsed="false">
      <c r="A17" s="19" t="s">
        <v>182</v>
      </c>
      <c r="B17" s="58"/>
      <c r="C17" s="21" t="n">
        <f aca="false">SUM(C14:C16)</f>
        <v>-360</v>
      </c>
      <c r="D17" s="21" t="n">
        <f aca="false">SUM(D14:D16)</f>
        <v>-388.8</v>
      </c>
      <c r="E17" s="21" t="n">
        <f aca="false">SUM(E14:E16)</f>
        <v>-420</v>
      </c>
      <c r="F17" s="21" t="n">
        <f aca="false">SUM(F14:F16)</f>
        <v>-453.6</v>
      </c>
      <c r="G17" s="21" t="n">
        <f aca="false">SUM(G14:G16)</f>
        <v>-489.6</v>
      </c>
      <c r="H17" s="21" t="n">
        <f aca="false">SUM(H14:H16)</f>
        <v>-528</v>
      </c>
      <c r="I17" s="58"/>
    </row>
    <row r="18" customFormat="false" ht="15" hidden="false" customHeight="true" outlineLevel="0" collapsed="false">
      <c r="A18" s="76" t="s">
        <v>183</v>
      </c>
      <c r="C18" s="77" t="n">
        <f aca="false">C11+C17</f>
        <v>240</v>
      </c>
      <c r="D18" s="77" t="n">
        <f aca="false">D11+D17</f>
        <v>259.2</v>
      </c>
      <c r="E18" s="77" t="n">
        <f aca="false">E11+E17</f>
        <v>280</v>
      </c>
      <c r="F18" s="77" t="n">
        <f aca="false">F11+F17</f>
        <v>302.4</v>
      </c>
      <c r="G18" s="77" t="n">
        <f aca="false">G11+G17</f>
        <v>326.4</v>
      </c>
      <c r="H18" s="77" t="n">
        <f aca="false">H11+H17</f>
        <v>352</v>
      </c>
    </row>
    <row r="19" customFormat="false" ht="15" hidden="false" customHeight="true" outlineLevel="0" collapsed="false">
      <c r="A19" s="30" t="s">
        <v>184</v>
      </c>
      <c r="C19" s="24" t="n">
        <f aca="false">C18/C8</f>
        <v>0.16</v>
      </c>
      <c r="D19" s="24" t="n">
        <f aca="false">D18/D8</f>
        <v>0.16</v>
      </c>
      <c r="E19" s="24" t="n">
        <f aca="false">E18/E8</f>
        <v>0.16</v>
      </c>
      <c r="F19" s="24" t="n">
        <f aca="false">F18/F8</f>
        <v>0.16</v>
      </c>
      <c r="G19" s="24" t="n">
        <f aca="false">G18/G8</f>
        <v>0.16</v>
      </c>
      <c r="H19" s="24" t="n">
        <f aca="false">H18/H8</f>
        <v>0.16</v>
      </c>
    </row>
    <row r="20" customFormat="false" ht="15" hidden="false" customHeight="true" outlineLevel="0" collapsed="false">
      <c r="A20" s="76" t="s">
        <v>185</v>
      </c>
      <c r="C20" s="77" t="n">
        <f aca="false">C18-C16</f>
        <v>300</v>
      </c>
      <c r="D20" s="77" t="n">
        <f aca="false">D18-D16</f>
        <v>324</v>
      </c>
      <c r="E20" s="77" t="n">
        <f aca="false">E18-E16</f>
        <v>350</v>
      </c>
      <c r="F20" s="77" t="n">
        <f aca="false">F18-F16</f>
        <v>378</v>
      </c>
      <c r="G20" s="77" t="n">
        <f aca="false">G18-G16</f>
        <v>408</v>
      </c>
      <c r="H20" s="77" t="n">
        <f aca="false">H18-H16</f>
        <v>440</v>
      </c>
    </row>
    <row r="21" customFormat="false" ht="15" hidden="false" customHeight="true" outlineLevel="0" collapsed="false">
      <c r="A21" s="30" t="s">
        <v>186</v>
      </c>
      <c r="C21" s="24" t="n">
        <f aca="false">C20/C8</f>
        <v>0.2</v>
      </c>
      <c r="D21" s="24" t="n">
        <f aca="false">D20/D8</f>
        <v>0.2</v>
      </c>
      <c r="E21" s="24" t="n">
        <f aca="false">E20/E8</f>
        <v>0.2</v>
      </c>
      <c r="F21" s="24" t="n">
        <f aca="false">F20/F8</f>
        <v>0.2</v>
      </c>
      <c r="G21" s="24" t="n">
        <f aca="false">G20/G8</f>
        <v>0.2</v>
      </c>
      <c r="H21" s="24" t="n">
        <f aca="false">H20/H8</f>
        <v>0.2</v>
      </c>
    </row>
    <row r="22" customFormat="false" ht="15" hidden="false" customHeight="true" outlineLevel="0" collapsed="false">
      <c r="A22" s="75" t="s">
        <v>187</v>
      </c>
      <c r="B22" s="75"/>
      <c r="C22" s="75"/>
      <c r="D22" s="75"/>
      <c r="E22" s="75"/>
      <c r="F22" s="75"/>
      <c r="G22" s="75"/>
      <c r="H22" s="75"/>
      <c r="I22" s="75"/>
    </row>
    <row r="23" customFormat="false" ht="15" hidden="false" customHeight="true" outlineLevel="0" collapsed="false">
      <c r="A23" s="12" t="s">
        <v>188</v>
      </c>
      <c r="C23" s="22" t="n">
        <v>-30</v>
      </c>
      <c r="D23" s="22" t="n">
        <v>-30</v>
      </c>
      <c r="E23" s="22" t="n">
        <v>-30</v>
      </c>
      <c r="F23" s="22" t="n">
        <v>-30</v>
      </c>
      <c r="G23" s="22" t="n">
        <v>-30</v>
      </c>
      <c r="H23" s="22" t="n">
        <v>-30</v>
      </c>
    </row>
    <row r="24" customFormat="false" ht="15" hidden="false" customHeight="true" outlineLevel="0" collapsed="false">
      <c r="A24" s="12" t="s">
        <v>189</v>
      </c>
      <c r="C24" s="22" t="n">
        <v>5</v>
      </c>
      <c r="D24" s="22" t="n">
        <v>5</v>
      </c>
      <c r="E24" s="22" t="n">
        <v>5</v>
      </c>
      <c r="F24" s="22" t="n">
        <v>5</v>
      </c>
      <c r="G24" s="22" t="n">
        <v>5</v>
      </c>
      <c r="H24" s="22" t="n">
        <v>5</v>
      </c>
    </row>
    <row r="25" customFormat="false" ht="15" hidden="false" customHeight="true" outlineLevel="0" collapsed="false">
      <c r="A25" s="76" t="s">
        <v>190</v>
      </c>
      <c r="C25" s="77" t="n">
        <f aca="false">C18+C23+C24</f>
        <v>215</v>
      </c>
      <c r="D25" s="77" t="n">
        <f aca="false">D18+D23+D24</f>
        <v>234.2</v>
      </c>
      <c r="E25" s="77" t="n">
        <f aca="false">E18+E23+E24</f>
        <v>255</v>
      </c>
      <c r="F25" s="77" t="n">
        <f aca="false">F18+F23+F24</f>
        <v>277.4</v>
      </c>
      <c r="G25" s="77" t="n">
        <f aca="false">G18+G23+G24</f>
        <v>301.4</v>
      </c>
      <c r="H25" s="77" t="n">
        <f aca="false">H18+H23+H24</f>
        <v>327</v>
      </c>
    </row>
    <row r="26" customFormat="false" ht="15" hidden="false" customHeight="true" outlineLevel="0" collapsed="false">
      <c r="A26" s="12" t="s">
        <v>191</v>
      </c>
      <c r="C26" s="25" t="n">
        <f aca="false">-C25*0.25</f>
        <v>-53.75</v>
      </c>
      <c r="D26" s="25" t="n">
        <f aca="false">-D25*0.25</f>
        <v>-58.55</v>
      </c>
      <c r="E26" s="25" t="n">
        <f aca="false">-E25*0.25</f>
        <v>-63.75</v>
      </c>
      <c r="F26" s="25" t="n">
        <f aca="false">-F25*0.25</f>
        <v>-69.35</v>
      </c>
      <c r="G26" s="25" t="n">
        <f aca="false">-G25*0.25</f>
        <v>-75.35</v>
      </c>
      <c r="H26" s="25" t="n">
        <f aca="false">-H25*0.25</f>
        <v>-81.75</v>
      </c>
    </row>
    <row r="27" customFormat="false" ht="15" hidden="false" customHeight="true" outlineLevel="0" collapsed="false">
      <c r="A27" s="19" t="s">
        <v>192</v>
      </c>
      <c r="B27" s="58"/>
      <c r="C27" s="21" t="n">
        <f aca="false">C25+C26</f>
        <v>161.25</v>
      </c>
      <c r="D27" s="21" t="n">
        <f aca="false">D25+D26</f>
        <v>175.65</v>
      </c>
      <c r="E27" s="21" t="n">
        <f aca="false">E25+E26</f>
        <v>191.25</v>
      </c>
      <c r="F27" s="21" t="n">
        <f aca="false">F25+F26</f>
        <v>208.05</v>
      </c>
      <c r="G27" s="21" t="n">
        <f aca="false">G25+G26</f>
        <v>226.05</v>
      </c>
      <c r="H27" s="21" t="n">
        <f aca="false">H25+H26</f>
        <v>245.25</v>
      </c>
      <c r="I27" s="58"/>
    </row>
    <row r="28" customFormat="false" ht="15" hidden="false" customHeight="true" outlineLevel="0" collapsed="false">
      <c r="A28" s="30" t="s">
        <v>193</v>
      </c>
      <c r="C28" s="24" t="n">
        <f aca="false">C27/C8</f>
        <v>0.1075</v>
      </c>
      <c r="D28" s="24" t="n">
        <f aca="false">D27/D8</f>
        <v>0.108425925925926</v>
      </c>
      <c r="E28" s="24" t="n">
        <f aca="false">E27/E8</f>
        <v>0.109285714285714</v>
      </c>
      <c r="F28" s="24" t="n">
        <f aca="false">F27/F8</f>
        <v>0.110079365079365</v>
      </c>
      <c r="G28" s="24" t="n">
        <f aca="false">G27/G8</f>
        <v>0.110808823529412</v>
      </c>
      <c r="H28" s="24" t="n">
        <f aca="false">H27/H8</f>
        <v>0.111477272727273</v>
      </c>
    </row>
    <row r="29" customFormat="false" ht="15" hidden="false" customHeight="true" outlineLevel="0" collapsed="false">
      <c r="A29" s="75" t="s">
        <v>194</v>
      </c>
      <c r="B29" s="75"/>
      <c r="C29" s="75"/>
      <c r="D29" s="75"/>
      <c r="E29" s="75"/>
      <c r="F29" s="75"/>
      <c r="G29" s="75"/>
      <c r="H29" s="75"/>
      <c r="I29" s="75"/>
    </row>
    <row r="30" customFormat="false" ht="15" hidden="false" customHeight="true" outlineLevel="0" collapsed="false">
      <c r="A30" s="12" t="s">
        <v>195</v>
      </c>
      <c r="C30" s="18" t="n">
        <v>250</v>
      </c>
      <c r="D30" s="18" t="n">
        <v>250</v>
      </c>
      <c r="E30" s="18" t="n">
        <v>250</v>
      </c>
      <c r="F30" s="18" t="n">
        <v>250</v>
      </c>
      <c r="G30" s="18" t="n">
        <v>250</v>
      </c>
      <c r="H30" s="18" t="n">
        <v>250</v>
      </c>
    </row>
    <row r="31" customFormat="false" ht="15" hidden="false" customHeight="true" outlineLevel="0" collapsed="false">
      <c r="A31" s="19" t="s">
        <v>196</v>
      </c>
      <c r="B31" s="58"/>
      <c r="C31" s="78" t="n">
        <f aca="false">C27/C30</f>
        <v>0.645</v>
      </c>
      <c r="D31" s="78" t="n">
        <f aca="false">D27/D30</f>
        <v>0.7026</v>
      </c>
      <c r="E31" s="78" t="n">
        <f aca="false">E27/E30</f>
        <v>0.765</v>
      </c>
      <c r="F31" s="78" t="n">
        <f aca="false">F27/F30</f>
        <v>0.8322</v>
      </c>
      <c r="G31" s="78" t="n">
        <f aca="false">G27/G30</f>
        <v>0.9042</v>
      </c>
      <c r="H31" s="78" t="n">
        <f aca="false">H27/H30</f>
        <v>0.981</v>
      </c>
      <c r="I31" s="58"/>
    </row>
  </sheetData>
  <mergeCells count="5">
    <mergeCell ref="A2:H2"/>
    <mergeCell ref="A7:I7"/>
    <mergeCell ref="A13:I13"/>
    <mergeCell ref="A22:I2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CA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"/>
    <col collapsed="false" customWidth="true" hidden="false" outlineLevel="0" max="8" min="3" style="1" width="14"/>
    <col collapsed="false" customWidth="true" hidden="false" outlineLevel="0" max="9" min="9" style="1" width="10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54" t="s">
        <v>197</v>
      </c>
      <c r="B2" s="54"/>
      <c r="C2" s="54"/>
      <c r="D2" s="54"/>
      <c r="E2" s="54"/>
      <c r="F2" s="54"/>
      <c r="G2" s="54"/>
      <c r="H2" s="54"/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30" hidden="false" customHeight="true" outlineLevel="0" collapsed="false">
      <c r="A5" s="9" t="s">
        <v>198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10" t="s">
        <v>31</v>
      </c>
    </row>
    <row r="7" customFormat="false" ht="15" hidden="false" customHeight="true" outlineLevel="0" collapsed="false">
      <c r="A7" s="11" t="s">
        <v>199</v>
      </c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12" t="s">
        <v>172</v>
      </c>
      <c r="C8" s="22" t="n">
        <v>500</v>
      </c>
      <c r="D8" s="22" t="n">
        <v>545</v>
      </c>
      <c r="E8" s="22" t="n">
        <v>595</v>
      </c>
      <c r="F8" s="22" t="n">
        <v>650</v>
      </c>
      <c r="G8" s="22" t="n">
        <v>710</v>
      </c>
      <c r="H8" s="22" t="n">
        <v>775</v>
      </c>
    </row>
    <row r="9" customFormat="false" ht="15" hidden="false" customHeight="true" outlineLevel="0" collapsed="false">
      <c r="A9" s="30" t="s">
        <v>173</v>
      </c>
      <c r="C9" s="74" t="s">
        <v>174</v>
      </c>
      <c r="D9" s="24" t="n">
        <f aca="false">D8/C8-1</f>
        <v>0.0900000000000001</v>
      </c>
      <c r="E9" s="24" t="n">
        <f aca="false">E8/D8-1</f>
        <v>0.0917431192660549</v>
      </c>
      <c r="F9" s="24" t="n">
        <f aca="false">F8/E8-1</f>
        <v>0.0924369747899159</v>
      </c>
      <c r="G9" s="24" t="n">
        <f aca="false">G8/F8-1</f>
        <v>0.0923076923076922</v>
      </c>
      <c r="H9" s="24" t="n">
        <f aca="false">H8/G8-1</f>
        <v>0.091549295774648</v>
      </c>
    </row>
    <row r="10" customFormat="false" ht="15" hidden="false" customHeight="true" outlineLevel="0" collapsed="false">
      <c r="A10" s="12" t="s">
        <v>175</v>
      </c>
      <c r="C10" s="25" t="n">
        <f aca="false">-C8*0.55</f>
        <v>-275</v>
      </c>
      <c r="D10" s="25" t="n">
        <f aca="false">-D8*0.55</f>
        <v>-299.75</v>
      </c>
      <c r="E10" s="25" t="n">
        <f aca="false">-E8*0.55</f>
        <v>-327.25</v>
      </c>
      <c r="F10" s="25" t="n">
        <f aca="false">-F8*0.55</f>
        <v>-357.5</v>
      </c>
      <c r="G10" s="25" t="n">
        <f aca="false">-G8*0.55</f>
        <v>-390.5</v>
      </c>
      <c r="H10" s="25" t="n">
        <f aca="false">-H8*0.55</f>
        <v>-426.25</v>
      </c>
    </row>
    <row r="11" customFormat="false" ht="15" hidden="false" customHeight="true" outlineLevel="0" collapsed="false">
      <c r="A11" s="19" t="s">
        <v>176</v>
      </c>
      <c r="B11" s="58"/>
      <c r="C11" s="21" t="n">
        <f aca="false">C8+C10</f>
        <v>225</v>
      </c>
      <c r="D11" s="21" t="n">
        <f aca="false">D8+D10</f>
        <v>245.25</v>
      </c>
      <c r="E11" s="21" t="n">
        <f aca="false">E8+E10</f>
        <v>267.75</v>
      </c>
      <c r="F11" s="21" t="n">
        <f aca="false">F8+F10</f>
        <v>292.5</v>
      </c>
      <c r="G11" s="21" t="n">
        <f aca="false">G8+G10</f>
        <v>319.5</v>
      </c>
      <c r="H11" s="21" t="n">
        <f aca="false">H8+H10</f>
        <v>348.75</v>
      </c>
      <c r="I11" s="58"/>
    </row>
    <row r="12" customFormat="false" ht="15" hidden="false" customHeight="true" outlineLevel="0" collapsed="false">
      <c r="A12" s="30" t="s">
        <v>177</v>
      </c>
      <c r="C12" s="24" t="n">
        <f aca="false">C11/C8</f>
        <v>0.45</v>
      </c>
      <c r="D12" s="24" t="n">
        <f aca="false">D11/D8</f>
        <v>0.45</v>
      </c>
      <c r="E12" s="24" t="n">
        <f aca="false">E11/E8</f>
        <v>0.45</v>
      </c>
      <c r="F12" s="24" t="n">
        <f aca="false">F11/F8</f>
        <v>0.45</v>
      </c>
      <c r="G12" s="24" t="n">
        <f aca="false">G11/G8</f>
        <v>0.45</v>
      </c>
      <c r="H12" s="24" t="n">
        <f aca="false">H11/H8</f>
        <v>0.45</v>
      </c>
    </row>
    <row r="13" customFormat="false" ht="15" hidden="false" customHeight="true" outlineLevel="0" collapsed="false">
      <c r="A13" s="75" t="s">
        <v>178</v>
      </c>
      <c r="B13" s="75"/>
      <c r="C13" s="75"/>
      <c r="D13" s="75"/>
      <c r="E13" s="75"/>
      <c r="F13" s="75"/>
      <c r="G13" s="75"/>
      <c r="H13" s="75"/>
      <c r="I13" s="75"/>
    </row>
    <row r="14" customFormat="false" ht="15" hidden="false" customHeight="true" outlineLevel="0" collapsed="false">
      <c r="A14" s="12" t="s">
        <v>179</v>
      </c>
      <c r="C14" s="25" t="n">
        <f aca="false">-C8*0.1</f>
        <v>-50</v>
      </c>
      <c r="D14" s="25" t="n">
        <f aca="false">-D8*0.1</f>
        <v>-54.5</v>
      </c>
      <c r="E14" s="25" t="n">
        <f aca="false">-E8*0.1</f>
        <v>-59.5</v>
      </c>
      <c r="F14" s="25" t="n">
        <f aca="false">-F8*0.1</f>
        <v>-65</v>
      </c>
      <c r="G14" s="25" t="n">
        <f aca="false">-G8*0.1</f>
        <v>-71</v>
      </c>
      <c r="H14" s="25" t="n">
        <f aca="false">-H8*0.1</f>
        <v>-77.5</v>
      </c>
    </row>
    <row r="15" customFormat="false" ht="15" hidden="false" customHeight="true" outlineLevel="0" collapsed="false">
      <c r="A15" s="12" t="s">
        <v>180</v>
      </c>
      <c r="C15" s="25" t="n">
        <f aca="false">-C8*0.15</f>
        <v>-75</v>
      </c>
      <c r="D15" s="25" t="n">
        <f aca="false">-D8*0.15</f>
        <v>-81.75</v>
      </c>
      <c r="E15" s="25" t="n">
        <f aca="false">-E8*0.15</f>
        <v>-89.25</v>
      </c>
      <c r="F15" s="25" t="n">
        <f aca="false">-F8*0.15</f>
        <v>-97.5</v>
      </c>
      <c r="G15" s="25" t="n">
        <f aca="false">-G8*0.15</f>
        <v>-106.5</v>
      </c>
      <c r="H15" s="25" t="n">
        <f aca="false">-H8*0.15</f>
        <v>-116.25</v>
      </c>
    </row>
    <row r="16" customFormat="false" ht="15" hidden="false" customHeight="true" outlineLevel="0" collapsed="false">
      <c r="A16" s="12" t="s">
        <v>181</v>
      </c>
      <c r="C16" s="25" t="n">
        <f aca="false">-C8*0.05</f>
        <v>-25</v>
      </c>
      <c r="D16" s="25" t="n">
        <f aca="false">-D8*0.05</f>
        <v>-27.25</v>
      </c>
      <c r="E16" s="25" t="n">
        <f aca="false">-E8*0.05</f>
        <v>-29.75</v>
      </c>
      <c r="F16" s="25" t="n">
        <f aca="false">-F8*0.05</f>
        <v>-32.5</v>
      </c>
      <c r="G16" s="25" t="n">
        <f aca="false">-G8*0.05</f>
        <v>-35.5</v>
      </c>
      <c r="H16" s="25" t="n">
        <f aca="false">-H8*0.05</f>
        <v>-38.75</v>
      </c>
    </row>
    <row r="17" customFormat="false" ht="15" hidden="false" customHeight="true" outlineLevel="0" collapsed="false">
      <c r="A17" s="19" t="s">
        <v>182</v>
      </c>
      <c r="B17" s="58"/>
      <c r="C17" s="21" t="n">
        <f aca="false">SUM(C14:C16)</f>
        <v>-150</v>
      </c>
      <c r="D17" s="21" t="n">
        <f aca="false">SUM(D14:D16)</f>
        <v>-163.5</v>
      </c>
      <c r="E17" s="21" t="n">
        <f aca="false">SUM(E14:E16)</f>
        <v>-178.5</v>
      </c>
      <c r="F17" s="21" t="n">
        <f aca="false">SUM(F14:F16)</f>
        <v>-195</v>
      </c>
      <c r="G17" s="21" t="n">
        <f aca="false">SUM(G14:G16)</f>
        <v>-213</v>
      </c>
      <c r="H17" s="21" t="n">
        <f aca="false">SUM(H14:H16)</f>
        <v>-232.5</v>
      </c>
      <c r="I17" s="58"/>
    </row>
    <row r="18" customFormat="false" ht="15" hidden="false" customHeight="true" outlineLevel="0" collapsed="false">
      <c r="A18" s="76" t="s">
        <v>200</v>
      </c>
      <c r="C18" s="77" t="n">
        <f aca="false">C11+C17</f>
        <v>75</v>
      </c>
      <c r="D18" s="77" t="n">
        <f aca="false">D11+D17</f>
        <v>81.75</v>
      </c>
      <c r="E18" s="77" t="n">
        <f aca="false">E11+E17</f>
        <v>89.25</v>
      </c>
      <c r="F18" s="77" t="n">
        <f aca="false">F11+F17</f>
        <v>97.4999999999999</v>
      </c>
      <c r="G18" s="77" t="n">
        <f aca="false">G11+G17</f>
        <v>106.5</v>
      </c>
      <c r="H18" s="77" t="n">
        <f aca="false">H11+H17</f>
        <v>116.25</v>
      </c>
    </row>
    <row r="19" customFormat="false" ht="15" hidden="false" customHeight="true" outlineLevel="0" collapsed="false">
      <c r="A19" s="30" t="s">
        <v>184</v>
      </c>
      <c r="C19" s="24" t="n">
        <f aca="false">C18/C8</f>
        <v>0.15</v>
      </c>
      <c r="D19" s="24" t="n">
        <f aca="false">D18/D8</f>
        <v>0.15</v>
      </c>
      <c r="E19" s="24" t="n">
        <f aca="false">E18/E8</f>
        <v>0.15</v>
      </c>
      <c r="F19" s="24" t="n">
        <f aca="false">F18/F8</f>
        <v>0.15</v>
      </c>
      <c r="G19" s="24" t="n">
        <f aca="false">G18/G8</f>
        <v>0.15</v>
      </c>
      <c r="H19" s="24" t="n">
        <f aca="false">H18/H8</f>
        <v>0.15</v>
      </c>
    </row>
    <row r="20" customFormat="false" ht="15" hidden="false" customHeight="true" outlineLevel="0" collapsed="false">
      <c r="A20" s="76" t="s">
        <v>185</v>
      </c>
      <c r="C20" s="77" t="n">
        <f aca="false">C18-C16</f>
        <v>100</v>
      </c>
      <c r="D20" s="77" t="n">
        <f aca="false">D18-D16</f>
        <v>109</v>
      </c>
      <c r="E20" s="77" t="n">
        <f aca="false">E18-E16</f>
        <v>119</v>
      </c>
      <c r="F20" s="77" t="n">
        <f aca="false">F18-F16</f>
        <v>130</v>
      </c>
      <c r="G20" s="77" t="n">
        <f aca="false">G18-G16</f>
        <v>142</v>
      </c>
      <c r="H20" s="77" t="n">
        <f aca="false">H18-H16</f>
        <v>155</v>
      </c>
    </row>
    <row r="21" customFormat="false" ht="15" hidden="false" customHeight="true" outlineLevel="0" collapsed="false">
      <c r="A21" s="30" t="s">
        <v>186</v>
      </c>
      <c r="C21" s="24" t="n">
        <f aca="false">C20/C8</f>
        <v>0.2</v>
      </c>
      <c r="D21" s="24" t="n">
        <f aca="false">D20/D8</f>
        <v>0.2</v>
      </c>
      <c r="E21" s="24" t="n">
        <f aca="false">E20/E8</f>
        <v>0.2</v>
      </c>
      <c r="F21" s="24" t="n">
        <f aca="false">F20/F8</f>
        <v>0.2</v>
      </c>
      <c r="G21" s="24" t="n">
        <f aca="false">G20/G8</f>
        <v>0.2</v>
      </c>
      <c r="H21" s="24" t="n">
        <f aca="false">H20/H8</f>
        <v>0.2</v>
      </c>
    </row>
    <row r="22" customFormat="false" ht="15" hidden="false" customHeight="true" outlineLevel="0" collapsed="false">
      <c r="A22" s="75" t="s">
        <v>187</v>
      </c>
      <c r="B22" s="75"/>
      <c r="C22" s="75"/>
      <c r="D22" s="75"/>
      <c r="E22" s="75"/>
      <c r="F22" s="75"/>
      <c r="G22" s="75"/>
      <c r="H22" s="75"/>
      <c r="I22" s="75"/>
    </row>
    <row r="23" customFormat="false" ht="15" hidden="false" customHeight="true" outlineLevel="0" collapsed="false">
      <c r="A23" s="12" t="s">
        <v>188</v>
      </c>
      <c r="C23" s="22" t="n">
        <v>-14</v>
      </c>
      <c r="D23" s="22" t="n">
        <v>-14</v>
      </c>
      <c r="E23" s="22" t="n">
        <v>-14</v>
      </c>
      <c r="F23" s="22" t="n">
        <v>-14</v>
      </c>
      <c r="G23" s="22" t="n">
        <v>-14</v>
      </c>
      <c r="H23" s="22" t="n">
        <v>-14</v>
      </c>
    </row>
    <row r="24" customFormat="false" ht="15" hidden="false" customHeight="true" outlineLevel="0" collapsed="false">
      <c r="A24" s="76" t="s">
        <v>190</v>
      </c>
      <c r="C24" s="77" t="n">
        <f aca="false">C18+C23</f>
        <v>61</v>
      </c>
      <c r="D24" s="77" t="n">
        <f aca="false">D18+D23</f>
        <v>67.75</v>
      </c>
      <c r="E24" s="77" t="n">
        <f aca="false">E18+E23</f>
        <v>75.25</v>
      </c>
      <c r="F24" s="77" t="n">
        <f aca="false">F18+F23</f>
        <v>83.4999999999999</v>
      </c>
      <c r="G24" s="77" t="n">
        <f aca="false">G18+G23</f>
        <v>92.4999999999999</v>
      </c>
      <c r="H24" s="77" t="n">
        <f aca="false">H18+H23</f>
        <v>102.25</v>
      </c>
    </row>
    <row r="25" customFormat="false" ht="15" hidden="false" customHeight="true" outlineLevel="0" collapsed="false">
      <c r="A25" s="12" t="s">
        <v>201</v>
      </c>
      <c r="C25" s="25" t="n">
        <f aca="false">-C24*0.25</f>
        <v>-15.25</v>
      </c>
      <c r="D25" s="25" t="n">
        <f aca="false">-D24*0.25</f>
        <v>-16.9375</v>
      </c>
      <c r="E25" s="25" t="n">
        <f aca="false">-E24*0.25</f>
        <v>-18.8125</v>
      </c>
      <c r="F25" s="25" t="n">
        <f aca="false">-F24*0.25</f>
        <v>-20.875</v>
      </c>
      <c r="G25" s="25" t="n">
        <f aca="false">-G24*0.25</f>
        <v>-23.125</v>
      </c>
      <c r="H25" s="25" t="n">
        <f aca="false">-H24*0.25</f>
        <v>-25.5625</v>
      </c>
    </row>
    <row r="26" customFormat="false" ht="15" hidden="false" customHeight="true" outlineLevel="0" collapsed="false">
      <c r="A26" s="19" t="s">
        <v>202</v>
      </c>
      <c r="B26" s="58"/>
      <c r="C26" s="21" t="n">
        <f aca="false">C24+C25</f>
        <v>45.75</v>
      </c>
      <c r="D26" s="21" t="n">
        <f aca="false">D24+D25</f>
        <v>50.8125</v>
      </c>
      <c r="E26" s="21" t="n">
        <f aca="false">E24+E25</f>
        <v>56.4375</v>
      </c>
      <c r="F26" s="21" t="n">
        <f aca="false">F24+F25</f>
        <v>62.625</v>
      </c>
      <c r="G26" s="21" t="n">
        <f aca="false">G24+G25</f>
        <v>69.375</v>
      </c>
      <c r="H26" s="21" t="n">
        <f aca="false">H24+H25</f>
        <v>76.6875</v>
      </c>
      <c r="I26" s="58"/>
    </row>
    <row r="27" customFormat="false" ht="15" hidden="false" customHeight="true" outlineLevel="0" collapsed="false">
      <c r="A27" s="30" t="s">
        <v>193</v>
      </c>
      <c r="C27" s="24" t="n">
        <f aca="false">C26/C8</f>
        <v>0.0915</v>
      </c>
      <c r="D27" s="24" t="n">
        <f aca="false">D26/D8</f>
        <v>0.0932339449541284</v>
      </c>
      <c r="E27" s="24" t="n">
        <f aca="false">E26/E8</f>
        <v>0.0948529411764706</v>
      </c>
      <c r="F27" s="24" t="n">
        <f aca="false">F26/F8</f>
        <v>0.0963461538461538</v>
      </c>
      <c r="G27" s="24" t="n">
        <f aca="false">G26/G8</f>
        <v>0.0977112676056337</v>
      </c>
      <c r="H27" s="24" t="n">
        <f aca="false">H26/H8</f>
        <v>0.0989516129032258</v>
      </c>
    </row>
  </sheetData>
  <mergeCells count="4">
    <mergeCell ref="A2:H2"/>
    <mergeCell ref="A7:I7"/>
    <mergeCell ref="A13:I13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"/>
    <col collapsed="false" customWidth="true" hidden="false" outlineLevel="0" max="8" min="3" style="1" width="14"/>
    <col collapsed="false" customWidth="true" hidden="false" outlineLevel="0" max="9" min="9" style="1" width="10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54" t="s">
        <v>203</v>
      </c>
      <c r="B2" s="54"/>
      <c r="C2" s="54"/>
      <c r="D2" s="54"/>
      <c r="E2" s="54"/>
      <c r="F2" s="54"/>
      <c r="G2" s="54"/>
      <c r="H2" s="54"/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30" hidden="false" customHeight="true" outlineLevel="0" collapsed="false">
      <c r="A5" s="9" t="s">
        <v>204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10" t="s">
        <v>31</v>
      </c>
    </row>
    <row r="7" customFormat="false" ht="15" hidden="false" customHeight="true" outlineLevel="0" collapsed="false">
      <c r="A7" s="11" t="s">
        <v>205</v>
      </c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12" t="s">
        <v>206</v>
      </c>
      <c r="C8" s="22" t="n">
        <v>0</v>
      </c>
      <c r="D8" s="22" t="n">
        <v>5</v>
      </c>
      <c r="E8" s="22" t="n">
        <v>12</v>
      </c>
      <c r="F8" s="22" t="n">
        <v>20</v>
      </c>
      <c r="G8" s="22" t="n">
        <v>25</v>
      </c>
      <c r="H8" s="22" t="n">
        <v>28</v>
      </c>
    </row>
    <row r="9" customFormat="false" ht="15" hidden="false" customHeight="true" outlineLevel="0" collapsed="false">
      <c r="A9" s="12" t="s">
        <v>207</v>
      </c>
      <c r="C9" s="22" t="n">
        <v>0</v>
      </c>
      <c r="D9" s="22" t="n">
        <v>2</v>
      </c>
      <c r="E9" s="22" t="n">
        <v>6</v>
      </c>
      <c r="F9" s="22" t="n">
        <v>12</v>
      </c>
      <c r="G9" s="22" t="n">
        <v>18</v>
      </c>
      <c r="H9" s="22" t="n">
        <v>22</v>
      </c>
    </row>
    <row r="10" customFormat="false" ht="15" hidden="false" customHeight="true" outlineLevel="0" collapsed="false">
      <c r="A10" s="12" t="s">
        <v>208</v>
      </c>
      <c r="C10" s="22" t="n">
        <v>0</v>
      </c>
      <c r="D10" s="22" t="n">
        <v>1</v>
      </c>
      <c r="E10" s="22" t="n">
        <v>3</v>
      </c>
      <c r="F10" s="22" t="n">
        <v>5</v>
      </c>
      <c r="G10" s="22" t="n">
        <v>7</v>
      </c>
      <c r="H10" s="22" t="n">
        <v>8</v>
      </c>
    </row>
    <row r="11" customFormat="false" ht="15" hidden="false" customHeight="true" outlineLevel="0" collapsed="false">
      <c r="A11" s="19" t="s">
        <v>209</v>
      </c>
      <c r="B11" s="58"/>
      <c r="C11" s="21" t="n">
        <f aca="false">SUM(C8:C10)</f>
        <v>0</v>
      </c>
      <c r="D11" s="21" t="n">
        <f aca="false">SUM(D8:D10)</f>
        <v>8</v>
      </c>
      <c r="E11" s="21" t="n">
        <f aca="false">SUM(E8:E10)</f>
        <v>21</v>
      </c>
      <c r="F11" s="21" t="n">
        <f aca="false">SUM(F8:F10)</f>
        <v>37</v>
      </c>
      <c r="G11" s="21" t="n">
        <f aca="false">SUM(G8:G10)</f>
        <v>50</v>
      </c>
      <c r="H11" s="21" t="n">
        <f aca="false">SUM(H8:H10)</f>
        <v>58</v>
      </c>
      <c r="I11" s="58"/>
    </row>
    <row r="13" customFormat="false" ht="15" hidden="false" customHeight="true" outlineLevel="0" collapsed="false">
      <c r="A13" s="11" t="s">
        <v>210</v>
      </c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true" outlineLevel="0" collapsed="false">
      <c r="A14" s="12" t="s">
        <v>211</v>
      </c>
      <c r="C14" s="22" t="n">
        <v>0</v>
      </c>
      <c r="D14" s="22" t="n">
        <v>8</v>
      </c>
      <c r="E14" s="22" t="n">
        <v>18</v>
      </c>
      <c r="F14" s="22" t="n">
        <v>28</v>
      </c>
      <c r="G14" s="22" t="n">
        <v>32</v>
      </c>
      <c r="H14" s="22" t="n">
        <v>34</v>
      </c>
    </row>
    <row r="15" customFormat="false" ht="15" hidden="false" customHeight="true" outlineLevel="0" collapsed="false">
      <c r="A15" s="12" t="s">
        <v>212</v>
      </c>
      <c r="C15" s="22" t="n">
        <v>0</v>
      </c>
      <c r="D15" s="22" t="n">
        <v>3</v>
      </c>
      <c r="E15" s="22" t="n">
        <v>8</v>
      </c>
      <c r="F15" s="22" t="n">
        <v>13</v>
      </c>
      <c r="G15" s="22" t="n">
        <v>16</v>
      </c>
      <c r="H15" s="22" t="n">
        <v>18</v>
      </c>
    </row>
    <row r="16" customFormat="false" ht="15" hidden="false" customHeight="true" outlineLevel="0" collapsed="false">
      <c r="A16" s="12" t="s">
        <v>213</v>
      </c>
      <c r="C16" s="22" t="n">
        <v>0</v>
      </c>
      <c r="D16" s="22" t="n">
        <v>2</v>
      </c>
      <c r="E16" s="22" t="n">
        <v>5</v>
      </c>
      <c r="F16" s="22" t="n">
        <v>8</v>
      </c>
      <c r="G16" s="22" t="n">
        <v>10</v>
      </c>
      <c r="H16" s="22" t="n">
        <v>11</v>
      </c>
    </row>
    <row r="17" customFormat="false" ht="15" hidden="false" customHeight="true" outlineLevel="0" collapsed="false">
      <c r="A17" s="12" t="s">
        <v>214</v>
      </c>
      <c r="C17" s="22" t="n">
        <v>0</v>
      </c>
      <c r="D17" s="22" t="n">
        <v>1</v>
      </c>
      <c r="E17" s="22" t="n">
        <v>4</v>
      </c>
      <c r="F17" s="22" t="n">
        <v>6</v>
      </c>
      <c r="G17" s="22" t="n">
        <v>7</v>
      </c>
      <c r="H17" s="22" t="n">
        <v>8</v>
      </c>
    </row>
    <row r="18" customFormat="false" ht="15" hidden="false" customHeight="true" outlineLevel="0" collapsed="false">
      <c r="A18" s="12" t="s">
        <v>215</v>
      </c>
      <c r="C18" s="22" t="n">
        <v>0</v>
      </c>
      <c r="D18" s="22" t="n">
        <v>1</v>
      </c>
      <c r="E18" s="22" t="n">
        <v>3</v>
      </c>
      <c r="F18" s="22" t="n">
        <v>5</v>
      </c>
      <c r="G18" s="22" t="n">
        <v>6</v>
      </c>
      <c r="H18" s="22" t="n">
        <v>7</v>
      </c>
    </row>
    <row r="19" customFormat="false" ht="15" hidden="false" customHeight="true" outlineLevel="0" collapsed="false">
      <c r="A19" s="19" t="s">
        <v>216</v>
      </c>
      <c r="B19" s="58"/>
      <c r="C19" s="21" t="n">
        <f aca="false">SUM(C14:C18)</f>
        <v>0</v>
      </c>
      <c r="D19" s="21" t="n">
        <f aca="false">SUM(D14:D18)</f>
        <v>15</v>
      </c>
      <c r="E19" s="21" t="n">
        <f aca="false">SUM(E14:E18)</f>
        <v>38</v>
      </c>
      <c r="F19" s="21" t="n">
        <f aca="false">SUM(F14:F18)</f>
        <v>60</v>
      </c>
      <c r="G19" s="21" t="n">
        <f aca="false">SUM(G14:G18)</f>
        <v>71</v>
      </c>
      <c r="H19" s="21" t="n">
        <f aca="false">SUM(H14:H18)</f>
        <v>78</v>
      </c>
      <c r="I19" s="58"/>
    </row>
    <row r="21" customFormat="false" ht="15" hidden="false" customHeight="true" outlineLevel="0" collapsed="false">
      <c r="A21" s="11" t="s">
        <v>217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true" outlineLevel="0" collapsed="false">
      <c r="A22" s="19" t="s">
        <v>218</v>
      </c>
      <c r="B22" s="58"/>
      <c r="C22" s="21" t="n">
        <f aca="false">C11+C19</f>
        <v>0</v>
      </c>
      <c r="D22" s="21" t="n">
        <f aca="false">D11+D19</f>
        <v>23</v>
      </c>
      <c r="E22" s="21" t="n">
        <f aca="false">E11+E19</f>
        <v>59</v>
      </c>
      <c r="F22" s="21" t="n">
        <f aca="false">F11+F19</f>
        <v>97</v>
      </c>
      <c r="G22" s="21" t="n">
        <f aca="false">G11+G19</f>
        <v>121</v>
      </c>
      <c r="H22" s="21" t="n">
        <f aca="false">H11+H19</f>
        <v>136</v>
      </c>
      <c r="I22" s="58"/>
    </row>
    <row r="24" customFormat="false" ht="15" hidden="false" customHeight="true" outlineLevel="0" collapsed="false">
      <c r="A24" s="11" t="s">
        <v>219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true" outlineLevel="0" collapsed="false">
      <c r="A25" s="12" t="s">
        <v>220</v>
      </c>
      <c r="C25" s="22" t="n">
        <v>-20</v>
      </c>
      <c r="D25" s="22" t="n">
        <v>-15</v>
      </c>
      <c r="E25" s="22" t="n">
        <v>-5</v>
      </c>
      <c r="F25" s="22" t="n">
        <v>0</v>
      </c>
      <c r="G25" s="22" t="n">
        <v>0</v>
      </c>
      <c r="H25" s="22" t="n">
        <v>0</v>
      </c>
    </row>
    <row r="26" customFormat="false" ht="15" hidden="false" customHeight="true" outlineLevel="0" collapsed="false">
      <c r="A26" s="12" t="s">
        <v>221</v>
      </c>
      <c r="C26" s="22" t="n">
        <v>-10</v>
      </c>
      <c r="D26" s="22" t="n">
        <v>-8</v>
      </c>
      <c r="E26" s="22" t="n">
        <v>-3</v>
      </c>
      <c r="F26" s="22" t="n">
        <v>0</v>
      </c>
      <c r="G26" s="22" t="n">
        <v>0</v>
      </c>
      <c r="H26" s="22" t="n">
        <v>0</v>
      </c>
    </row>
    <row r="27" customFormat="false" ht="15" hidden="false" customHeight="true" outlineLevel="0" collapsed="false">
      <c r="A27" s="12" t="s">
        <v>222</v>
      </c>
      <c r="C27" s="22" t="n">
        <v>-5</v>
      </c>
      <c r="D27" s="22" t="n">
        <v>-3</v>
      </c>
      <c r="E27" s="22" t="n">
        <v>0</v>
      </c>
      <c r="F27" s="22" t="n">
        <v>0</v>
      </c>
      <c r="G27" s="22" t="n">
        <v>0</v>
      </c>
      <c r="H27" s="22" t="n">
        <v>0</v>
      </c>
    </row>
    <row r="28" customFormat="false" ht="15" hidden="false" customHeight="true" outlineLevel="0" collapsed="false">
      <c r="A28" s="12" t="s">
        <v>223</v>
      </c>
      <c r="C28" s="22" t="n">
        <v>-5</v>
      </c>
      <c r="D28" s="22" t="n">
        <v>-2</v>
      </c>
      <c r="E28" s="22" t="n">
        <v>0</v>
      </c>
      <c r="F28" s="22" t="n">
        <v>0</v>
      </c>
      <c r="G28" s="22" t="n">
        <v>0</v>
      </c>
      <c r="H28" s="22" t="n">
        <v>0</v>
      </c>
    </row>
    <row r="29" customFormat="false" ht="15" hidden="false" customHeight="true" outlineLevel="0" collapsed="false">
      <c r="A29" s="19" t="s">
        <v>224</v>
      </c>
      <c r="B29" s="58"/>
      <c r="C29" s="21" t="n">
        <f aca="false">SUM(C25:C28)</f>
        <v>-40</v>
      </c>
      <c r="D29" s="21" t="n">
        <f aca="false">SUM(D25:D28)</f>
        <v>-28</v>
      </c>
      <c r="E29" s="21" t="n">
        <f aca="false">SUM(E25:E28)</f>
        <v>-8</v>
      </c>
      <c r="F29" s="21" t="n">
        <f aca="false">SUM(F25:F28)</f>
        <v>0</v>
      </c>
      <c r="G29" s="21" t="n">
        <f aca="false">SUM(G25:G28)</f>
        <v>0</v>
      </c>
      <c r="H29" s="21" t="n">
        <f aca="false">SUM(H25:H28)</f>
        <v>0</v>
      </c>
      <c r="I29" s="58"/>
    </row>
    <row r="30" customFormat="false" ht="15" hidden="false" customHeight="true" outlineLevel="0" collapsed="false">
      <c r="A30" s="19" t="s">
        <v>225</v>
      </c>
      <c r="B30" s="58"/>
      <c r="C30" s="21" t="n">
        <f aca="false">C22+C29</f>
        <v>-40</v>
      </c>
      <c r="D30" s="21" t="n">
        <f aca="false">D22+D29</f>
        <v>-5</v>
      </c>
      <c r="E30" s="21" t="n">
        <f aca="false">E22+E29</f>
        <v>51</v>
      </c>
      <c r="F30" s="21" t="n">
        <f aca="false">F22+F29</f>
        <v>97</v>
      </c>
      <c r="G30" s="21" t="n">
        <f aca="false">G22+G29</f>
        <v>121</v>
      </c>
      <c r="H30" s="21" t="n">
        <f aca="false">H22+H29</f>
        <v>136</v>
      </c>
      <c r="I30" s="58"/>
    </row>
  </sheetData>
  <mergeCells count="5">
    <mergeCell ref="A2:H2"/>
    <mergeCell ref="A7:I7"/>
    <mergeCell ref="A13:I13"/>
    <mergeCell ref="A21:I21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"/>
    <col collapsed="false" customWidth="true" hidden="false" outlineLevel="0" max="8" min="3" style="1" width="14"/>
    <col collapsed="false" customWidth="true" hidden="false" outlineLevel="0" max="9" min="9" style="1" width="10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54" t="s">
        <v>226</v>
      </c>
      <c r="B2" s="54"/>
      <c r="C2" s="54"/>
      <c r="D2" s="54"/>
      <c r="E2" s="54"/>
      <c r="F2" s="54"/>
      <c r="G2" s="54"/>
      <c r="H2" s="54"/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30" hidden="false" customHeight="true" outlineLevel="0" collapsed="false">
      <c r="A5" s="9" t="s">
        <v>227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10" t="s">
        <v>31</v>
      </c>
    </row>
    <row r="7" customFormat="false" ht="15" hidden="false" customHeight="true" outlineLevel="0" collapsed="false">
      <c r="A7" s="11" t="s">
        <v>228</v>
      </c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12" t="s">
        <v>229</v>
      </c>
      <c r="C8" s="28" t="n">
        <f aca="false">'Acquiror IS'!C8</f>
        <v>1500</v>
      </c>
      <c r="D8" s="28" t="n">
        <f aca="false">'Acquiror IS'!D8</f>
        <v>1620</v>
      </c>
      <c r="E8" s="28" t="n">
        <f aca="false">'Acquiror IS'!E8</f>
        <v>1750</v>
      </c>
      <c r="F8" s="28" t="n">
        <f aca="false">'Acquiror IS'!F8</f>
        <v>1890</v>
      </c>
      <c r="G8" s="28" t="n">
        <f aca="false">'Acquiror IS'!G8</f>
        <v>2040</v>
      </c>
      <c r="H8" s="28" t="n">
        <f aca="false">'Acquiror IS'!H8</f>
        <v>2200</v>
      </c>
    </row>
    <row r="9" customFormat="false" ht="15" hidden="false" customHeight="true" outlineLevel="0" collapsed="false">
      <c r="A9" s="12" t="s">
        <v>230</v>
      </c>
      <c r="C9" s="28" t="n">
        <f aca="false">'Target IS'!C8</f>
        <v>500</v>
      </c>
      <c r="D9" s="28" t="n">
        <f aca="false">'Target IS'!D8</f>
        <v>545</v>
      </c>
      <c r="E9" s="28" t="n">
        <f aca="false">'Target IS'!E8</f>
        <v>595</v>
      </c>
      <c r="F9" s="28" t="n">
        <f aca="false">'Target IS'!F8</f>
        <v>650</v>
      </c>
      <c r="G9" s="28" t="n">
        <f aca="false">'Target IS'!G8</f>
        <v>710</v>
      </c>
      <c r="H9" s="28" t="n">
        <f aca="false">'Target IS'!H8</f>
        <v>775</v>
      </c>
    </row>
    <row r="10" customFormat="false" ht="15" hidden="false" customHeight="true" outlineLevel="0" collapsed="false">
      <c r="A10" s="12" t="s">
        <v>231</v>
      </c>
      <c r="C10" s="28" t="n">
        <f aca="false">'Synergy Schedule'!C11</f>
        <v>0</v>
      </c>
      <c r="D10" s="28" t="n">
        <f aca="false">'Synergy Schedule'!D11</f>
        <v>8</v>
      </c>
      <c r="E10" s="28" t="n">
        <f aca="false">'Synergy Schedule'!E11</f>
        <v>21</v>
      </c>
      <c r="F10" s="28" t="n">
        <f aca="false">'Synergy Schedule'!F11</f>
        <v>37</v>
      </c>
      <c r="G10" s="28" t="n">
        <f aca="false">'Synergy Schedule'!G11</f>
        <v>50</v>
      </c>
      <c r="H10" s="28" t="n">
        <f aca="false">'Synergy Schedule'!H11</f>
        <v>58</v>
      </c>
    </row>
    <row r="11" customFormat="false" ht="15" hidden="false" customHeight="true" outlineLevel="0" collapsed="false">
      <c r="A11" s="19" t="s">
        <v>232</v>
      </c>
      <c r="B11" s="58"/>
      <c r="C11" s="21" t="n">
        <f aca="false">C8+C9+C10</f>
        <v>2000</v>
      </c>
      <c r="D11" s="21" t="n">
        <f aca="false">D8+D9+D10</f>
        <v>2173</v>
      </c>
      <c r="E11" s="21" t="n">
        <f aca="false">E8+E9+E10</f>
        <v>2366</v>
      </c>
      <c r="F11" s="21" t="n">
        <f aca="false">F8+F9+F10</f>
        <v>2577</v>
      </c>
      <c r="G11" s="21" t="n">
        <f aca="false">G8+G9+G10</f>
        <v>2800</v>
      </c>
      <c r="H11" s="21" t="n">
        <f aca="false">H8+H9+H10</f>
        <v>3033</v>
      </c>
      <c r="I11" s="58"/>
    </row>
    <row r="12" customFormat="false" ht="15" hidden="false" customHeight="true" outlineLevel="0" collapsed="false">
      <c r="A12" s="75" t="s">
        <v>233</v>
      </c>
      <c r="B12" s="75"/>
      <c r="C12" s="75"/>
      <c r="D12" s="75"/>
      <c r="E12" s="75"/>
      <c r="F12" s="75"/>
      <c r="G12" s="75"/>
      <c r="H12" s="75"/>
      <c r="I12" s="75"/>
    </row>
    <row r="13" customFormat="false" ht="15" hidden="false" customHeight="true" outlineLevel="0" collapsed="false">
      <c r="A13" s="12" t="s">
        <v>234</v>
      </c>
      <c r="C13" s="28" t="n">
        <f aca="false">'Acquiror IS'!C10</f>
        <v>-900</v>
      </c>
      <c r="D13" s="28" t="n">
        <f aca="false">'Acquiror IS'!D10</f>
        <v>-972</v>
      </c>
      <c r="E13" s="28" t="n">
        <f aca="false">'Acquiror IS'!E10</f>
        <v>-1050</v>
      </c>
      <c r="F13" s="28" t="n">
        <f aca="false">'Acquiror IS'!F10</f>
        <v>-1134</v>
      </c>
      <c r="G13" s="28" t="n">
        <f aca="false">'Acquiror IS'!G10</f>
        <v>-1224</v>
      </c>
      <c r="H13" s="28" t="n">
        <f aca="false">'Acquiror IS'!H10</f>
        <v>-1320</v>
      </c>
    </row>
    <row r="14" customFormat="false" ht="15" hidden="false" customHeight="true" outlineLevel="0" collapsed="false">
      <c r="A14" s="12" t="s">
        <v>235</v>
      </c>
      <c r="C14" s="28" t="n">
        <f aca="false">'Target IS'!C10</f>
        <v>-275</v>
      </c>
      <c r="D14" s="28" t="n">
        <f aca="false">'Target IS'!D10</f>
        <v>-299.75</v>
      </c>
      <c r="E14" s="28" t="n">
        <f aca="false">'Target IS'!E10</f>
        <v>-327.25</v>
      </c>
      <c r="F14" s="28" t="n">
        <f aca="false">'Target IS'!F10</f>
        <v>-357.5</v>
      </c>
      <c r="G14" s="28" t="n">
        <f aca="false">'Target IS'!G10</f>
        <v>-390.5</v>
      </c>
      <c r="H14" s="28" t="n">
        <f aca="false">'Target IS'!H10</f>
        <v>-426.25</v>
      </c>
    </row>
    <row r="15" customFormat="false" ht="15" hidden="false" customHeight="true" outlineLevel="0" collapsed="false">
      <c r="A15" s="12" t="s">
        <v>236</v>
      </c>
      <c r="C15" s="22" t="n">
        <v>-5</v>
      </c>
      <c r="D15" s="25" t="n">
        <f aca="false">0</f>
        <v>0</v>
      </c>
      <c r="E15" s="25" t="n">
        <f aca="false">0</f>
        <v>0</v>
      </c>
      <c r="F15" s="25" t="n">
        <f aca="false">0</f>
        <v>0</v>
      </c>
      <c r="G15" s="25" t="n">
        <f aca="false">0</f>
        <v>0</v>
      </c>
      <c r="H15" s="25" t="n">
        <f aca="false">0</f>
        <v>0</v>
      </c>
    </row>
    <row r="16" customFormat="false" ht="15" hidden="false" customHeight="true" outlineLevel="0" collapsed="false">
      <c r="A16" s="19" t="s">
        <v>237</v>
      </c>
      <c r="B16" s="58"/>
      <c r="C16" s="21" t="n">
        <f aca="false">SUM(C13:C15)</f>
        <v>-1180</v>
      </c>
      <c r="D16" s="21" t="n">
        <f aca="false">SUM(D13:D15)</f>
        <v>-1271.75</v>
      </c>
      <c r="E16" s="21" t="n">
        <f aca="false">SUM(E13:E15)</f>
        <v>-1377.25</v>
      </c>
      <c r="F16" s="21" t="n">
        <f aca="false">SUM(F13:F15)</f>
        <v>-1491.5</v>
      </c>
      <c r="G16" s="21" t="n">
        <f aca="false">SUM(G13:G15)</f>
        <v>-1614.5</v>
      </c>
      <c r="H16" s="21" t="n">
        <f aca="false">SUM(H13:H15)</f>
        <v>-1746.25</v>
      </c>
      <c r="I16" s="58"/>
    </row>
    <row r="17" customFormat="false" ht="15" hidden="false" customHeight="true" outlineLevel="0" collapsed="false">
      <c r="A17" s="76" t="s">
        <v>176</v>
      </c>
      <c r="C17" s="77" t="n">
        <f aca="false">C11+C16</f>
        <v>820</v>
      </c>
      <c r="D17" s="77" t="n">
        <f aca="false">D11+D16</f>
        <v>901.25</v>
      </c>
      <c r="E17" s="77" t="n">
        <f aca="false">E11+E16</f>
        <v>988.75</v>
      </c>
      <c r="F17" s="77" t="n">
        <f aca="false">F11+F16</f>
        <v>1085.5</v>
      </c>
      <c r="G17" s="77" t="n">
        <f aca="false">G11+G16</f>
        <v>1185.5</v>
      </c>
      <c r="H17" s="77" t="n">
        <f aca="false">H11+H16</f>
        <v>1286.75</v>
      </c>
    </row>
    <row r="18" customFormat="false" ht="15" hidden="false" customHeight="true" outlineLevel="0" collapsed="false">
      <c r="A18" s="30" t="s">
        <v>177</v>
      </c>
      <c r="C18" s="24" t="n">
        <f aca="false">C17/C11</f>
        <v>0.41</v>
      </c>
      <c r="D18" s="24" t="n">
        <f aca="false">D17/D11</f>
        <v>0.414749194661758</v>
      </c>
      <c r="E18" s="24" t="n">
        <f aca="false">E17/E11</f>
        <v>0.417899408284024</v>
      </c>
      <c r="F18" s="24" t="n">
        <f aca="false">F17/F11</f>
        <v>0.421226232052775</v>
      </c>
      <c r="G18" s="24" t="n">
        <f aca="false">G17/G11</f>
        <v>0.423392857142857</v>
      </c>
      <c r="H18" s="24" t="n">
        <f aca="false">H17/H11</f>
        <v>0.42424991757336</v>
      </c>
    </row>
    <row r="19" customFormat="false" ht="15" hidden="false" customHeight="true" outlineLevel="0" collapsed="false">
      <c r="A19" s="75" t="s">
        <v>238</v>
      </c>
      <c r="B19" s="75"/>
      <c r="C19" s="75"/>
      <c r="D19" s="75"/>
      <c r="E19" s="75"/>
      <c r="F19" s="75"/>
      <c r="G19" s="75"/>
      <c r="H19" s="75"/>
      <c r="I19" s="75"/>
    </row>
    <row r="20" customFormat="false" ht="15" hidden="false" customHeight="true" outlineLevel="0" collapsed="false">
      <c r="A20" s="12" t="s">
        <v>239</v>
      </c>
      <c r="C20" s="28" t="n">
        <f aca="false">'Acquiror IS'!C14</f>
        <v>-120</v>
      </c>
      <c r="D20" s="28" t="n">
        <f aca="false">'Acquiror IS'!D14</f>
        <v>-129.6</v>
      </c>
      <c r="E20" s="28" t="n">
        <f aca="false">'Acquiror IS'!E14</f>
        <v>-140</v>
      </c>
      <c r="F20" s="28" t="n">
        <f aca="false">'Acquiror IS'!F14</f>
        <v>-151.2</v>
      </c>
      <c r="G20" s="28" t="n">
        <f aca="false">'Acquiror IS'!G14</f>
        <v>-163.2</v>
      </c>
      <c r="H20" s="28" t="n">
        <f aca="false">'Acquiror IS'!H14</f>
        <v>-176</v>
      </c>
    </row>
    <row r="21" customFormat="false" ht="15" hidden="false" customHeight="true" outlineLevel="0" collapsed="false">
      <c r="A21" s="12" t="s">
        <v>240</v>
      </c>
      <c r="C21" s="28" t="n">
        <f aca="false">'Target IS'!C14</f>
        <v>-50</v>
      </c>
      <c r="D21" s="28" t="n">
        <f aca="false">'Target IS'!D14</f>
        <v>-54.5</v>
      </c>
      <c r="E21" s="28" t="n">
        <f aca="false">'Target IS'!E14</f>
        <v>-59.5</v>
      </c>
      <c r="F21" s="28" t="n">
        <f aca="false">'Target IS'!F14</f>
        <v>-65</v>
      </c>
      <c r="G21" s="28" t="n">
        <f aca="false">'Target IS'!G14</f>
        <v>-71</v>
      </c>
      <c r="H21" s="28" t="n">
        <f aca="false">'Target IS'!H14</f>
        <v>-77.5</v>
      </c>
    </row>
    <row r="22" customFormat="false" ht="15" hidden="false" customHeight="true" outlineLevel="0" collapsed="false">
      <c r="A22" s="12" t="s">
        <v>241</v>
      </c>
      <c r="C22" s="28" t="n">
        <f aca="false">'Acquiror IS'!C15</f>
        <v>-180</v>
      </c>
      <c r="D22" s="28" t="n">
        <f aca="false">'Acquiror IS'!D15</f>
        <v>-194.4</v>
      </c>
      <c r="E22" s="28" t="n">
        <f aca="false">'Acquiror IS'!E15</f>
        <v>-210</v>
      </c>
      <c r="F22" s="28" t="n">
        <f aca="false">'Acquiror IS'!F15</f>
        <v>-226.8</v>
      </c>
      <c r="G22" s="28" t="n">
        <f aca="false">'Acquiror IS'!G15</f>
        <v>-244.8</v>
      </c>
      <c r="H22" s="28" t="n">
        <f aca="false">'Acquiror IS'!H15</f>
        <v>-264</v>
      </c>
    </row>
    <row r="23" customFormat="false" ht="15" hidden="false" customHeight="true" outlineLevel="0" collapsed="false">
      <c r="A23" s="12" t="s">
        <v>242</v>
      </c>
      <c r="C23" s="28" t="n">
        <f aca="false">'Target IS'!C15</f>
        <v>-75</v>
      </c>
      <c r="D23" s="28" t="n">
        <f aca="false">'Target IS'!D15</f>
        <v>-81.75</v>
      </c>
      <c r="E23" s="28" t="n">
        <f aca="false">'Target IS'!E15</f>
        <v>-89.25</v>
      </c>
      <c r="F23" s="28" t="n">
        <f aca="false">'Target IS'!F15</f>
        <v>-97.5</v>
      </c>
      <c r="G23" s="28" t="n">
        <f aca="false">'Target IS'!G15</f>
        <v>-106.5</v>
      </c>
      <c r="H23" s="28" t="n">
        <f aca="false">'Target IS'!H15</f>
        <v>-116.25</v>
      </c>
    </row>
    <row r="24" customFormat="false" ht="15" hidden="false" customHeight="true" outlineLevel="0" collapsed="false">
      <c r="A24" s="12" t="s">
        <v>243</v>
      </c>
      <c r="C24" s="28" t="n">
        <f aca="false">'Synergy Schedule'!C19</f>
        <v>0</v>
      </c>
      <c r="D24" s="28" t="n">
        <f aca="false">'Synergy Schedule'!D19</f>
        <v>15</v>
      </c>
      <c r="E24" s="28" t="n">
        <f aca="false">'Synergy Schedule'!E19</f>
        <v>38</v>
      </c>
      <c r="F24" s="28" t="n">
        <f aca="false">'Synergy Schedule'!F19</f>
        <v>60</v>
      </c>
      <c r="G24" s="28" t="n">
        <f aca="false">'Synergy Schedule'!G19</f>
        <v>71</v>
      </c>
      <c r="H24" s="28" t="n">
        <f aca="false">'Synergy Schedule'!H19</f>
        <v>78</v>
      </c>
    </row>
    <row r="25" customFormat="false" ht="15" hidden="false" customHeight="true" outlineLevel="0" collapsed="false">
      <c r="A25" s="12" t="s">
        <v>244</v>
      </c>
      <c r="C25" s="28" t="n">
        <f aca="false">'Acquiror IS'!C16</f>
        <v>-60</v>
      </c>
      <c r="D25" s="28" t="n">
        <f aca="false">'Acquiror IS'!D16</f>
        <v>-64.8</v>
      </c>
      <c r="E25" s="28" t="n">
        <f aca="false">'Acquiror IS'!E16</f>
        <v>-70</v>
      </c>
      <c r="F25" s="28" t="n">
        <f aca="false">'Acquiror IS'!F16</f>
        <v>-75.6</v>
      </c>
      <c r="G25" s="28" t="n">
        <f aca="false">'Acquiror IS'!G16</f>
        <v>-81.6</v>
      </c>
      <c r="H25" s="28" t="n">
        <f aca="false">'Acquiror IS'!H16</f>
        <v>-88</v>
      </c>
    </row>
    <row r="26" customFormat="false" ht="15" hidden="false" customHeight="true" outlineLevel="0" collapsed="false">
      <c r="A26" s="12" t="s">
        <v>245</v>
      </c>
      <c r="C26" s="28" t="n">
        <f aca="false">'Target IS'!C16</f>
        <v>-25</v>
      </c>
      <c r="D26" s="28" t="n">
        <f aca="false">'Target IS'!D16</f>
        <v>-27.25</v>
      </c>
      <c r="E26" s="28" t="n">
        <f aca="false">'Target IS'!E16</f>
        <v>-29.75</v>
      </c>
      <c r="F26" s="28" t="n">
        <f aca="false">'Target IS'!F16</f>
        <v>-32.5</v>
      </c>
      <c r="G26" s="28" t="n">
        <f aca="false">'Target IS'!G16</f>
        <v>-35.5</v>
      </c>
      <c r="H26" s="28" t="n">
        <f aca="false">'Target IS'!H16</f>
        <v>-38.75</v>
      </c>
    </row>
    <row r="27" customFormat="false" ht="15" hidden="false" customHeight="true" outlineLevel="0" collapsed="false">
      <c r="A27" s="12" t="s">
        <v>246</v>
      </c>
      <c r="C27" s="22" t="n">
        <v>-20</v>
      </c>
      <c r="D27" s="22" t="n">
        <v>-20</v>
      </c>
      <c r="E27" s="22" t="n">
        <v>-20</v>
      </c>
      <c r="F27" s="22" t="n">
        <v>-20</v>
      </c>
      <c r="G27" s="22" t="n">
        <v>-20</v>
      </c>
      <c r="H27" s="22" t="n">
        <v>-20</v>
      </c>
    </row>
    <row r="28" customFormat="false" ht="15" hidden="false" customHeight="true" outlineLevel="0" collapsed="false">
      <c r="A28" s="19" t="s">
        <v>247</v>
      </c>
      <c r="B28" s="58"/>
      <c r="C28" s="21" t="n">
        <f aca="false">SUM(C20:C27)</f>
        <v>-530</v>
      </c>
      <c r="D28" s="21" t="n">
        <f aca="false">SUM(D20:D27)</f>
        <v>-557.3</v>
      </c>
      <c r="E28" s="21" t="n">
        <f aca="false">SUM(E20:E27)</f>
        <v>-580.5</v>
      </c>
      <c r="F28" s="21" t="n">
        <f aca="false">SUM(F20:F27)</f>
        <v>-608.6</v>
      </c>
      <c r="G28" s="21" t="n">
        <f aca="false">SUM(G20:G27)</f>
        <v>-651.6</v>
      </c>
      <c r="H28" s="21" t="n">
        <f aca="false">SUM(H20:H27)</f>
        <v>-702.5</v>
      </c>
      <c r="I28" s="58"/>
    </row>
    <row r="29" customFormat="false" ht="15" hidden="false" customHeight="true" outlineLevel="0" collapsed="false">
      <c r="A29" s="76" t="s">
        <v>248</v>
      </c>
      <c r="C29" s="77" t="n">
        <f aca="false">C17+C28</f>
        <v>290</v>
      </c>
      <c r="D29" s="77" t="n">
        <f aca="false">D17+D28</f>
        <v>343.95</v>
      </c>
      <c r="E29" s="77" t="n">
        <f aca="false">E17+E28</f>
        <v>408.25</v>
      </c>
      <c r="F29" s="77" t="n">
        <f aca="false">F17+F28</f>
        <v>476.9</v>
      </c>
      <c r="G29" s="77" t="n">
        <f aca="false">G17+G28</f>
        <v>533.9</v>
      </c>
      <c r="H29" s="77" t="n">
        <f aca="false">H17+H28</f>
        <v>584.25</v>
      </c>
    </row>
    <row r="30" customFormat="false" ht="15" hidden="false" customHeight="true" outlineLevel="0" collapsed="false">
      <c r="A30" s="30" t="s">
        <v>184</v>
      </c>
      <c r="C30" s="24" t="n">
        <f aca="false">IF(C11=0,0,C29/C11)</f>
        <v>0.145</v>
      </c>
      <c r="D30" s="24" t="n">
        <f aca="false">IF(D11=0,0,D29/D11)</f>
        <v>0.158283479061206</v>
      </c>
      <c r="E30" s="24" t="n">
        <f aca="false">IF(E11=0,0,E29/E11)</f>
        <v>0.172548605240913</v>
      </c>
      <c r="F30" s="24" t="n">
        <f aca="false">IF(F11=0,0,F29/F11)</f>
        <v>0.185060147458285</v>
      </c>
      <c r="G30" s="24" t="n">
        <f aca="false">IF(G11=0,0,G29/G11)</f>
        <v>0.190678571428571</v>
      </c>
      <c r="H30" s="24" t="n">
        <f aca="false">IF(H11=0,0,H29/H11)</f>
        <v>0.192631058358061</v>
      </c>
    </row>
    <row r="31" customFormat="false" ht="15" hidden="false" customHeight="true" outlineLevel="0" collapsed="false">
      <c r="A31" s="76" t="s">
        <v>249</v>
      </c>
      <c r="C31" s="77" t="n">
        <f aca="false">C29-'Acquiror IS'!C16-'Target IS'!C16+C27</f>
        <v>355</v>
      </c>
      <c r="D31" s="77" t="n">
        <f aca="false">D29-'Acquiror IS'!D16-'Target IS'!D16+D27</f>
        <v>416</v>
      </c>
      <c r="E31" s="77" t="n">
        <f aca="false">E29-'Acquiror IS'!E16-'Target IS'!E16+E27</f>
        <v>488</v>
      </c>
      <c r="F31" s="77" t="n">
        <f aca="false">F29-'Acquiror IS'!F16-'Target IS'!F16+F27</f>
        <v>565</v>
      </c>
      <c r="G31" s="77" t="n">
        <f aca="false">G29-'Acquiror IS'!G16-'Target IS'!G16+G27</f>
        <v>631</v>
      </c>
      <c r="H31" s="77" t="n">
        <f aca="false">H29-'Acquiror IS'!H16-'Target IS'!H16+H27</f>
        <v>691</v>
      </c>
    </row>
    <row r="32" customFormat="false" ht="15" hidden="false" customHeight="true" outlineLevel="0" collapsed="false">
      <c r="A32" s="30" t="s">
        <v>186</v>
      </c>
      <c r="C32" s="24" t="n">
        <f aca="false">IF(C11=0,0,C31/C11)</f>
        <v>0.1775</v>
      </c>
      <c r="D32" s="24" t="n">
        <f aca="false">IF(D11=0,0,D31/D11)</f>
        <v>0.191440404970087</v>
      </c>
      <c r="E32" s="24" t="n">
        <f aca="false">IF(E11=0,0,E31/E11)</f>
        <v>0.20625528317836</v>
      </c>
      <c r="F32" s="24" t="n">
        <f aca="false">IF(F11=0,0,F31/F11)</f>
        <v>0.219247186651145</v>
      </c>
      <c r="G32" s="24" t="n">
        <f aca="false">IF(G11=0,0,G31/G11)</f>
        <v>0.225357142857143</v>
      </c>
      <c r="H32" s="24" t="n">
        <f aca="false">IF(H11=0,0,H31/H11)</f>
        <v>0.227827233761952</v>
      </c>
    </row>
    <row r="33" customFormat="false" ht="15" hidden="false" customHeight="true" outlineLevel="0" collapsed="false">
      <c r="A33" s="75" t="s">
        <v>250</v>
      </c>
      <c r="B33" s="75"/>
      <c r="C33" s="75"/>
      <c r="D33" s="75"/>
      <c r="E33" s="75"/>
      <c r="F33" s="75"/>
      <c r="G33" s="75"/>
      <c r="H33" s="75"/>
      <c r="I33" s="75"/>
    </row>
    <row r="34" customFormat="false" ht="15" hidden="false" customHeight="true" outlineLevel="0" collapsed="false">
      <c r="A34" s="12" t="s">
        <v>251</v>
      </c>
      <c r="C34" s="28" t="n">
        <f aca="false">'Acquiror IS'!C23</f>
        <v>-30</v>
      </c>
      <c r="D34" s="28" t="n">
        <f aca="false">'Acquiror IS'!D23</f>
        <v>-30</v>
      </c>
      <c r="E34" s="28" t="n">
        <f aca="false">'Acquiror IS'!E23</f>
        <v>-30</v>
      </c>
      <c r="F34" s="28" t="n">
        <f aca="false">'Acquiror IS'!F23</f>
        <v>-30</v>
      </c>
      <c r="G34" s="28" t="n">
        <f aca="false">'Acquiror IS'!G23</f>
        <v>-30</v>
      </c>
      <c r="H34" s="28" t="n">
        <f aca="false">'Acquiror IS'!H23</f>
        <v>-30</v>
      </c>
    </row>
    <row r="35" customFormat="false" ht="15" hidden="false" customHeight="true" outlineLevel="0" collapsed="false">
      <c r="A35" s="12" t="s">
        <v>252</v>
      </c>
      <c r="C35" s="28" t="n">
        <f aca="false">-('Txn Assumptions'!C47*'Txn Assumptions'!C48+'Txn Assumptions'!C50*'Txn Assumptions'!C51+'Txn Assumptions'!C53*'Txn Assumptions'!C54)</f>
        <v>-179.215</v>
      </c>
      <c r="D35" s="28" t="n">
        <f aca="false">-('Txn Assumptions'!C47*'Txn Assumptions'!C48+'Txn Assumptions'!C50*'Txn Assumptions'!C51+'Txn Assumptions'!C53*'Txn Assumptions'!C54)</f>
        <v>-179.215</v>
      </c>
      <c r="E35" s="28" t="n">
        <f aca="false">-('Txn Assumptions'!C47*'Txn Assumptions'!C48+'Txn Assumptions'!C50*'Txn Assumptions'!C51+'Txn Assumptions'!C53*'Txn Assumptions'!C54)</f>
        <v>-179.215</v>
      </c>
      <c r="F35" s="28" t="n">
        <f aca="false">-('Txn Assumptions'!C47*'Txn Assumptions'!C48+'Txn Assumptions'!C50*'Txn Assumptions'!C51+'Txn Assumptions'!C53*'Txn Assumptions'!C54)</f>
        <v>-179.215</v>
      </c>
      <c r="G35" s="28" t="n">
        <f aca="false">-('Txn Assumptions'!C47*'Txn Assumptions'!C48+'Txn Assumptions'!C50*'Txn Assumptions'!C51+'Txn Assumptions'!C53*'Txn Assumptions'!C54)</f>
        <v>-179.215</v>
      </c>
      <c r="H35" s="28" t="n">
        <f aca="false">-('Txn Assumptions'!C47*'Txn Assumptions'!C48+'Txn Assumptions'!C50*'Txn Assumptions'!C51+'Txn Assumptions'!C53*'Txn Assumptions'!C54)</f>
        <v>-179.215</v>
      </c>
    </row>
    <row r="36" customFormat="false" ht="15" hidden="false" customHeight="true" outlineLevel="0" collapsed="false">
      <c r="A36" s="79" t="s">
        <v>253</v>
      </c>
      <c r="B36" s="80"/>
      <c r="C36" s="81" t="n">
        <f aca="false">-('Sources &amp; Uses'!C17+'Sources &amp; Uses'!C18)</f>
        <v>-30</v>
      </c>
      <c r="D36" s="82" t="n">
        <f aca="false">0</f>
        <v>0</v>
      </c>
      <c r="E36" s="82" t="n">
        <f aca="false">0</f>
        <v>0</v>
      </c>
      <c r="F36" s="82" t="n">
        <f aca="false">0</f>
        <v>0</v>
      </c>
      <c r="G36" s="82" t="n">
        <f aca="false">0</f>
        <v>0</v>
      </c>
      <c r="H36" s="82" t="n">
        <f aca="false">0</f>
        <v>0</v>
      </c>
      <c r="I36" s="80"/>
      <c r="J36" s="80"/>
      <c r="K36" s="80"/>
    </row>
    <row r="37" customFormat="false" ht="15" hidden="false" customHeight="true" outlineLevel="0" collapsed="false">
      <c r="A37" s="79" t="s">
        <v>254</v>
      </c>
      <c r="B37" s="80"/>
      <c r="C37" s="81" t="n">
        <f aca="false">-'Sources &amp; Uses'!C16/5</f>
        <v>-1.6</v>
      </c>
      <c r="D37" s="81" t="n">
        <f aca="false">-'Sources &amp; Uses'!C16/5</f>
        <v>-1.6</v>
      </c>
      <c r="E37" s="81" t="n">
        <f aca="false">-'Sources &amp; Uses'!C16/5</f>
        <v>-1.6</v>
      </c>
      <c r="F37" s="81" t="n">
        <f aca="false">-'Sources &amp; Uses'!C16/5</f>
        <v>-1.6</v>
      </c>
      <c r="G37" s="81" t="n">
        <f aca="false">-'Sources &amp; Uses'!C16/5</f>
        <v>-1.6</v>
      </c>
      <c r="H37" s="81" t="n">
        <f aca="false">-'Sources &amp; Uses'!C16/5</f>
        <v>-1.6</v>
      </c>
      <c r="I37" s="80"/>
      <c r="J37" s="80"/>
      <c r="K37" s="80"/>
    </row>
    <row r="38" customFormat="false" ht="15" hidden="false" customHeight="true" outlineLevel="0" collapsed="false">
      <c r="A38" s="79" t="s">
        <v>255</v>
      </c>
      <c r="B38" s="83"/>
      <c r="C38" s="84" t="n">
        <f aca="false">-'Sources &amp; Uses'!C5*0.03</f>
        <v>-1.5</v>
      </c>
      <c r="D38" s="84" t="n">
        <f aca="false">-'Sources &amp; Uses'!C5*0.03</f>
        <v>-1.5</v>
      </c>
      <c r="E38" s="84" t="n">
        <f aca="false">-'Sources &amp; Uses'!C5*0.03</f>
        <v>-1.5</v>
      </c>
      <c r="F38" s="84" t="n">
        <f aca="false">-'Sources &amp; Uses'!C5*0.03</f>
        <v>-1.5</v>
      </c>
      <c r="G38" s="84" t="n">
        <f aca="false">-'Sources &amp; Uses'!C5*0.03</f>
        <v>-1.5</v>
      </c>
      <c r="H38" s="84" t="n">
        <f aca="false">-'Sources &amp; Uses'!C5*0.03</f>
        <v>-1.5</v>
      </c>
      <c r="I38" s="83"/>
      <c r="J38" s="83"/>
      <c r="K38" s="83"/>
    </row>
    <row r="39" customFormat="false" ht="15" hidden="false" customHeight="true" outlineLevel="0" collapsed="false">
      <c r="A39" s="85" t="s">
        <v>256</v>
      </c>
      <c r="B39" s="83"/>
      <c r="C39" s="86" t="n">
        <f aca="false">C29+C34+C35+C36+C37+C38</f>
        <v>47.685</v>
      </c>
      <c r="D39" s="86" t="n">
        <f aca="false">D29+D34+D35+D36+D37+D38</f>
        <v>131.635</v>
      </c>
      <c r="E39" s="86" t="n">
        <f aca="false">E29+E34+E35+E36+E37+E38</f>
        <v>195.935</v>
      </c>
      <c r="F39" s="86" t="n">
        <f aca="false">F29+F34+F35+F36+F37+F38</f>
        <v>264.585</v>
      </c>
      <c r="G39" s="86" t="n">
        <f aca="false">G29+G34+G35+G36+G37+G38</f>
        <v>321.585</v>
      </c>
      <c r="H39" s="86" t="n">
        <f aca="false">H29+H34+H35+H36+H37+H38</f>
        <v>371.935</v>
      </c>
      <c r="I39" s="83"/>
      <c r="J39" s="83"/>
      <c r="K39" s="83"/>
    </row>
    <row r="40" customFormat="false" ht="15" hidden="false" customHeight="true" outlineLevel="0" collapsed="false">
      <c r="A40" s="79" t="s">
        <v>201</v>
      </c>
      <c r="B40" s="83"/>
      <c r="C40" s="87" t="n">
        <f aca="false">-C39*'Txn Assumptions'!C59</f>
        <v>-11.92125</v>
      </c>
      <c r="D40" s="87" t="n">
        <f aca="false">-D39*'Txn Assumptions'!C59</f>
        <v>-32.90875</v>
      </c>
      <c r="E40" s="87" t="n">
        <f aca="false">-E39*'Txn Assumptions'!C59</f>
        <v>-48.98375</v>
      </c>
      <c r="F40" s="87" t="n">
        <f aca="false">-F39*'Txn Assumptions'!C59</f>
        <v>-66.14625</v>
      </c>
      <c r="G40" s="87" t="n">
        <f aca="false">-G39*'Txn Assumptions'!C59</f>
        <v>-80.39625</v>
      </c>
      <c r="H40" s="87" t="n">
        <f aca="false">-H39*'Txn Assumptions'!C59</f>
        <v>-92.98375</v>
      </c>
      <c r="I40" s="83"/>
      <c r="J40" s="83"/>
      <c r="K40" s="83"/>
    </row>
    <row r="41" customFormat="false" ht="15" hidden="false" customHeight="true" outlineLevel="0" collapsed="false">
      <c r="A41" s="88" t="s">
        <v>257</v>
      </c>
      <c r="B41" s="89"/>
      <c r="C41" s="90" t="n">
        <f aca="false">C39+C40</f>
        <v>35.76375</v>
      </c>
      <c r="D41" s="90" t="n">
        <f aca="false">D39+D40</f>
        <v>98.72625</v>
      </c>
      <c r="E41" s="90" t="n">
        <f aca="false">E39+E40</f>
        <v>146.95125</v>
      </c>
      <c r="F41" s="90" t="n">
        <f aca="false">F39+F40</f>
        <v>198.43875</v>
      </c>
      <c r="G41" s="90" t="n">
        <f aca="false">G39+G40</f>
        <v>241.18875</v>
      </c>
      <c r="H41" s="90" t="n">
        <f aca="false">H39+H40</f>
        <v>278.95125</v>
      </c>
      <c r="I41" s="89"/>
      <c r="J41" s="83"/>
      <c r="K41" s="83"/>
    </row>
    <row r="42" customFormat="false" ht="15" hidden="false" customHeight="true" outlineLevel="0" collapsed="false">
      <c r="A42" s="91" t="s">
        <v>193</v>
      </c>
      <c r="B42" s="83"/>
      <c r="C42" s="92" t="n">
        <f aca="false">IF(C11=0,0,C41/C11)</f>
        <v>0.017881875</v>
      </c>
      <c r="D42" s="92" t="n">
        <f aca="false">IF(D11=0,0,D41/D11)</f>
        <v>0.0454331569259089</v>
      </c>
      <c r="E42" s="92" t="n">
        <f aca="false">IF(E11=0,0,E41/E11)</f>
        <v>0.0621095731191885</v>
      </c>
      <c r="F42" s="92" t="n">
        <f aca="false">IF(F11=0,0,F41/F11)</f>
        <v>0.0770037834691502</v>
      </c>
      <c r="G42" s="92" t="n">
        <f aca="false">IF(G11=0,0,G41/G11)</f>
        <v>0.0861388392857143</v>
      </c>
      <c r="H42" s="92" t="n">
        <f aca="false">IF(H11=0,0,H41/H11)</f>
        <v>0.0919720573689416</v>
      </c>
      <c r="I42" s="83"/>
      <c r="J42" s="83"/>
      <c r="K42" s="83"/>
    </row>
    <row r="43" customFormat="false" ht="15" hidden="false" customHeight="true" outlineLevel="0" collapsed="false">
      <c r="A43" s="11" t="s">
        <v>258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</row>
    <row r="44" customFormat="false" ht="15" hidden="false" customHeight="false" outlineLevel="0" collapsed="false">
      <c r="A44" s="12" t="s">
        <v>259</v>
      </c>
      <c r="B44" s="93"/>
      <c r="C44" s="94" t="n">
        <f aca="false">'Txn Assumptions'!C44</f>
        <v>285.454545454545</v>
      </c>
      <c r="D44" s="94" t="n">
        <f aca="false">'Txn Assumptions'!C44</f>
        <v>285.454545454545</v>
      </c>
      <c r="E44" s="94" t="n">
        <f aca="false">'Txn Assumptions'!C44</f>
        <v>285.454545454545</v>
      </c>
      <c r="F44" s="94" t="n">
        <f aca="false">'Txn Assumptions'!C44</f>
        <v>285.454545454545</v>
      </c>
      <c r="G44" s="94" t="n">
        <f aca="false">'Txn Assumptions'!C44</f>
        <v>285.454545454545</v>
      </c>
      <c r="H44" s="94" t="n">
        <f aca="false">'Txn Assumptions'!C44</f>
        <v>285.454545454545</v>
      </c>
      <c r="I44" s="93"/>
      <c r="J44" s="93"/>
      <c r="K44" s="93"/>
    </row>
    <row r="45" customFormat="false" ht="15" hidden="false" customHeight="false" outlineLevel="0" collapsed="false">
      <c r="A45" s="95" t="s">
        <v>260</v>
      </c>
      <c r="B45" s="96"/>
      <c r="C45" s="97" t="n">
        <f aca="false">IF(C44=0,0,C41/C44)</f>
        <v>0.125287022292994</v>
      </c>
      <c r="D45" s="97" t="n">
        <f aca="false">IF(D44=0,0,D41/D44)</f>
        <v>0.345856289808917</v>
      </c>
      <c r="E45" s="97" t="n">
        <f aca="false">IF(E44=0,0,E41/E44)</f>
        <v>0.514797372611465</v>
      </c>
      <c r="F45" s="97" t="n">
        <f aca="false">IF(F44=0,0,F41/F44)</f>
        <v>0.695167595541401</v>
      </c>
      <c r="G45" s="97" t="n">
        <f aca="false">IF(G44=0,0,G41/G44)</f>
        <v>0.844928742038216</v>
      </c>
      <c r="H45" s="97" t="n">
        <f aca="false">IF(H44=0,0,H41/H44)</f>
        <v>0.97721775477707</v>
      </c>
      <c r="I45" s="96"/>
      <c r="J45" s="93"/>
      <c r="K45" s="93"/>
    </row>
  </sheetData>
  <mergeCells count="5">
    <mergeCell ref="A2:H2"/>
    <mergeCell ref="A7:I7"/>
    <mergeCell ref="A12:I12"/>
    <mergeCell ref="A19:I19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H7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"/>
    <col collapsed="false" customWidth="true" hidden="false" outlineLevel="0" max="6" min="3" style="1" width="16"/>
    <col collapsed="false" customWidth="true" hidden="false" outlineLevel="0" max="7" min="7" style="1" width="18"/>
    <col collapsed="false" customWidth="true" hidden="false" outlineLevel="0" max="8" min="8" style="1" width="5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54" t="s">
        <v>261</v>
      </c>
      <c r="B2" s="54"/>
      <c r="C2" s="54"/>
      <c r="D2" s="54"/>
      <c r="E2" s="54"/>
      <c r="F2" s="54"/>
      <c r="G2" s="54"/>
      <c r="H2" s="54"/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31.5" hidden="false" customHeight="true" outlineLevel="0" collapsed="false">
      <c r="A5" s="9" t="s">
        <v>116</v>
      </c>
      <c r="C5" s="98" t="s">
        <v>262</v>
      </c>
      <c r="D5" s="98" t="s">
        <v>263</v>
      </c>
      <c r="E5" s="99" t="s">
        <v>264</v>
      </c>
      <c r="F5" s="99" t="s">
        <v>265</v>
      </c>
      <c r="G5" s="100" t="s">
        <v>266</v>
      </c>
      <c r="H5" s="101" t="s">
        <v>31</v>
      </c>
    </row>
    <row r="6" customFormat="false" ht="24" hidden="false" customHeight="true" outlineLevel="0" collapsed="false">
      <c r="C6" s="102" t="s">
        <v>267</v>
      </c>
      <c r="D6" s="102" t="s">
        <v>268</v>
      </c>
      <c r="E6" s="103" t="s">
        <v>269</v>
      </c>
      <c r="F6" s="103" t="s">
        <v>270</v>
      </c>
      <c r="G6" s="104" t="s">
        <v>271</v>
      </c>
    </row>
    <row r="7" customFormat="false" ht="15" hidden="false" customHeight="true" outlineLevel="0" collapsed="false">
      <c r="A7" s="11" t="s">
        <v>272</v>
      </c>
      <c r="B7" s="11"/>
      <c r="C7" s="11"/>
      <c r="D7" s="11"/>
      <c r="E7" s="11"/>
      <c r="F7" s="11"/>
      <c r="G7" s="11"/>
    </row>
    <row r="8" customFormat="false" ht="15" hidden="false" customHeight="true" outlineLevel="0" collapsed="false">
      <c r="A8" s="75" t="s">
        <v>273</v>
      </c>
      <c r="B8" s="75"/>
      <c r="C8" s="75"/>
      <c r="D8" s="75"/>
      <c r="E8" s="75"/>
      <c r="F8" s="75"/>
      <c r="G8" s="75"/>
    </row>
    <row r="9" customFormat="false" ht="15" hidden="false" customHeight="true" outlineLevel="0" collapsed="false">
      <c r="A9" s="30" t="s">
        <v>274</v>
      </c>
      <c r="C9" s="22" t="n">
        <v>200</v>
      </c>
      <c r="D9" s="22" t="n">
        <v>80</v>
      </c>
      <c r="E9" s="25" t="n">
        <f aca="false">0</f>
        <v>0</v>
      </c>
      <c r="F9" s="68" t="n">
        <f aca="false">-'Sources &amp; Uses'!C5-'Sources &amp; Uses'!C17-'Sources &amp; Uses'!C18-'Sources &amp; Uses'!C16</f>
        <v>-88</v>
      </c>
      <c r="G9" s="105" t="n">
        <f aca="false">C9+D9+E9+F9</f>
        <v>192</v>
      </c>
    </row>
    <row r="10" customFormat="false" ht="15" hidden="false" customHeight="true" outlineLevel="0" collapsed="false">
      <c r="A10" s="30" t="s">
        <v>275</v>
      </c>
      <c r="C10" s="22" t="n">
        <v>180</v>
      </c>
      <c r="D10" s="22" t="n">
        <v>60</v>
      </c>
      <c r="E10" s="25" t="n">
        <f aca="false">0</f>
        <v>0</v>
      </c>
      <c r="F10" s="25" t="n">
        <f aca="false">0</f>
        <v>0</v>
      </c>
      <c r="G10" s="106" t="n">
        <f aca="false">C10+D10+E10+F10</f>
        <v>240</v>
      </c>
    </row>
    <row r="11" customFormat="false" ht="15" hidden="false" customHeight="true" outlineLevel="0" collapsed="false">
      <c r="A11" s="30" t="s">
        <v>127</v>
      </c>
      <c r="C11" s="22" t="n">
        <v>120</v>
      </c>
      <c r="D11" s="22" t="n">
        <v>45</v>
      </c>
      <c r="E11" s="28" t="n">
        <f aca="false">5</f>
        <v>5</v>
      </c>
      <c r="F11" s="25" t="n">
        <f aca="false">0</f>
        <v>0</v>
      </c>
      <c r="G11" s="106" t="n">
        <f aca="false">C11+D11+E11+F11</f>
        <v>170</v>
      </c>
    </row>
    <row r="12" customFormat="false" ht="15" hidden="false" customHeight="true" outlineLevel="0" collapsed="false">
      <c r="A12" s="30" t="s">
        <v>276</v>
      </c>
      <c r="C12" s="22" t="n">
        <v>40</v>
      </c>
      <c r="D12" s="22" t="n">
        <v>15</v>
      </c>
      <c r="E12" s="25" t="n">
        <f aca="false">0</f>
        <v>0</v>
      </c>
      <c r="F12" s="25" t="n">
        <f aca="false">0</f>
        <v>0</v>
      </c>
      <c r="G12" s="106" t="n">
        <f aca="false">C12+D12+E12+F12</f>
        <v>55</v>
      </c>
    </row>
    <row r="13" customFormat="false" ht="15" hidden="false" customHeight="true" outlineLevel="0" collapsed="false">
      <c r="A13" s="76" t="s">
        <v>277</v>
      </c>
      <c r="C13" s="21" t="n">
        <f aca="false">SUM(C9:C12)</f>
        <v>540</v>
      </c>
      <c r="D13" s="21" t="n">
        <f aca="false">SUM(D9:D12)</f>
        <v>200</v>
      </c>
      <c r="E13" s="21" t="n">
        <f aca="false">SUM(E9:E12)</f>
        <v>5</v>
      </c>
      <c r="F13" s="21" t="n">
        <f aca="false">SUM(F9:F12)</f>
        <v>-88</v>
      </c>
      <c r="G13" s="107" t="n">
        <f aca="false">C13+D13+E13+F13</f>
        <v>657</v>
      </c>
    </row>
    <row r="14" customFormat="false" ht="15" hidden="false" customHeight="true" outlineLevel="0" collapsed="false">
      <c r="A14" s="75" t="s">
        <v>278</v>
      </c>
      <c r="B14" s="75"/>
      <c r="C14" s="75"/>
      <c r="D14" s="75"/>
      <c r="E14" s="75"/>
      <c r="F14" s="75"/>
      <c r="G14" s="75"/>
    </row>
    <row r="15" customFormat="false" ht="15" hidden="false" customHeight="true" outlineLevel="0" collapsed="false">
      <c r="A15" s="30" t="s">
        <v>129</v>
      </c>
      <c r="C15" s="22" t="n">
        <v>800</v>
      </c>
      <c r="D15" s="22" t="n">
        <v>120</v>
      </c>
      <c r="E15" s="28" t="n">
        <f aca="false">30</f>
        <v>30</v>
      </c>
      <c r="F15" s="25" t="n">
        <f aca="false">0</f>
        <v>0</v>
      </c>
      <c r="G15" s="106" t="n">
        <f aca="false">C15+D15+E15+F15</f>
        <v>950</v>
      </c>
    </row>
    <row r="16" customFormat="false" ht="15" hidden="false" customHeight="true" outlineLevel="0" collapsed="false">
      <c r="A16" s="30" t="s">
        <v>279</v>
      </c>
      <c r="C16" s="22" t="n">
        <v>100</v>
      </c>
      <c r="D16" s="22" t="n">
        <v>30</v>
      </c>
      <c r="E16" s="25" t="n">
        <f aca="false">0</f>
        <v>0</v>
      </c>
      <c r="F16" s="25" t="n">
        <f aca="false">0</f>
        <v>0</v>
      </c>
      <c r="G16" s="106" t="n">
        <f aca="false">C16+D16+E16+F16</f>
        <v>130</v>
      </c>
    </row>
    <row r="17" customFormat="false" ht="15" hidden="false" customHeight="true" outlineLevel="0" collapsed="false">
      <c r="A17" s="30" t="s">
        <v>280</v>
      </c>
      <c r="C17" s="25" t="n">
        <f aca="false">0</f>
        <v>0</v>
      </c>
      <c r="D17" s="25" t="n">
        <f aca="false">0</f>
        <v>0</v>
      </c>
      <c r="E17" s="28" t="n">
        <f aca="false">160</f>
        <v>160</v>
      </c>
      <c r="F17" s="25" t="n">
        <f aca="false">0</f>
        <v>0</v>
      </c>
      <c r="G17" s="106" t="n">
        <f aca="false">C17+D17+E17+F17</f>
        <v>160</v>
      </c>
    </row>
    <row r="18" customFormat="false" ht="15" hidden="false" customHeight="true" outlineLevel="0" collapsed="false">
      <c r="A18" s="108" t="s">
        <v>281</v>
      </c>
      <c r="C18" s="25" t="n">
        <f aca="false">0</f>
        <v>0</v>
      </c>
      <c r="D18" s="25" t="n">
        <f aca="false">0</f>
        <v>0</v>
      </c>
      <c r="E18" s="28" t="n">
        <f aca="false">'Txn Assumptions'!C18-70-145</f>
        <v>4780</v>
      </c>
      <c r="F18" s="25" t="n">
        <f aca="false">0</f>
        <v>0</v>
      </c>
      <c r="G18" s="109" t="n">
        <f aca="false">C18+D18+E18+F18</f>
        <v>4780</v>
      </c>
    </row>
    <row r="19" customFormat="false" ht="15" hidden="false" customHeight="true" outlineLevel="0" collapsed="false">
      <c r="A19" s="30" t="s">
        <v>282</v>
      </c>
      <c r="C19" s="22" t="n">
        <v>50</v>
      </c>
      <c r="D19" s="22" t="n">
        <v>10</v>
      </c>
      <c r="E19" s="25" t="n">
        <f aca="false">0</f>
        <v>0</v>
      </c>
      <c r="F19" s="25" t="n">
        <f aca="false">0</f>
        <v>0</v>
      </c>
      <c r="G19" s="106" t="n">
        <f aca="false">C19+D19+E19+F19</f>
        <v>60</v>
      </c>
    </row>
    <row r="20" customFormat="false" ht="15" hidden="false" customHeight="true" outlineLevel="0" collapsed="false">
      <c r="A20" s="30" t="s">
        <v>283</v>
      </c>
      <c r="C20" s="25" t="n">
        <f aca="false">0</f>
        <v>0</v>
      </c>
      <c r="D20" s="25" t="n">
        <f aca="false">0</f>
        <v>0</v>
      </c>
      <c r="E20" s="25" t="n">
        <f aca="false">0</f>
        <v>0</v>
      </c>
      <c r="F20" s="68" t="n">
        <f aca="false">'Sources &amp; Uses'!C16</f>
        <v>8</v>
      </c>
      <c r="G20" s="105" t="n">
        <f aca="false">C20+D20+E20+F20</f>
        <v>8</v>
      </c>
    </row>
    <row r="21" customFormat="false" ht="15" hidden="false" customHeight="true" outlineLevel="0" collapsed="false">
      <c r="A21" s="76" t="s">
        <v>284</v>
      </c>
      <c r="C21" s="21" t="n">
        <f aca="false">SUM(C14:C20)</f>
        <v>950</v>
      </c>
      <c r="D21" s="21" t="n">
        <f aca="false">SUM(D14:D20)</f>
        <v>160</v>
      </c>
      <c r="E21" s="21" t="n">
        <f aca="false">SUM(E14:E20)</f>
        <v>4970</v>
      </c>
      <c r="F21" s="21" t="n">
        <f aca="false">SUM(F14:F20)</f>
        <v>8</v>
      </c>
      <c r="G21" s="107" t="n">
        <f aca="false">C21+D21+E21+F21</f>
        <v>6088</v>
      </c>
    </row>
    <row r="22" customFormat="false" ht="15.75" hidden="false" customHeight="true" outlineLevel="0" collapsed="false">
      <c r="A22" s="110" t="s">
        <v>285</v>
      </c>
      <c r="C22" s="111" t="n">
        <f aca="false">C13+C21</f>
        <v>1490</v>
      </c>
      <c r="D22" s="111" t="n">
        <f aca="false">D13+D21</f>
        <v>360</v>
      </c>
      <c r="E22" s="111" t="n">
        <f aca="false">E13+E21</f>
        <v>4975</v>
      </c>
      <c r="F22" s="111" t="n">
        <f aca="false">F13+F21</f>
        <v>-80</v>
      </c>
      <c r="G22" s="112" t="n">
        <f aca="false">C22+D22+E22+F22</f>
        <v>6745</v>
      </c>
    </row>
    <row r="24" customFormat="false" ht="15" hidden="false" customHeight="true" outlineLevel="0" collapsed="false">
      <c r="A24" s="11" t="s">
        <v>286</v>
      </c>
      <c r="B24" s="11"/>
      <c r="C24" s="11"/>
      <c r="D24" s="11"/>
      <c r="E24" s="11"/>
      <c r="F24" s="11"/>
      <c r="G24" s="11"/>
    </row>
    <row r="25" customFormat="false" ht="15" hidden="false" customHeight="true" outlineLevel="0" collapsed="false">
      <c r="A25" s="75" t="s">
        <v>287</v>
      </c>
      <c r="B25" s="75"/>
      <c r="C25" s="75"/>
      <c r="D25" s="75"/>
      <c r="E25" s="75"/>
      <c r="F25" s="75"/>
      <c r="G25" s="75"/>
    </row>
    <row r="26" customFormat="false" ht="15" hidden="false" customHeight="true" outlineLevel="0" collapsed="false">
      <c r="A26" s="30" t="s">
        <v>132</v>
      </c>
      <c r="C26" s="22" t="n">
        <v>90</v>
      </c>
      <c r="D26" s="22" t="n">
        <v>40</v>
      </c>
      <c r="E26" s="25" t="n">
        <f aca="false">0</f>
        <v>0</v>
      </c>
      <c r="F26" s="25" t="n">
        <f aca="false">0</f>
        <v>0</v>
      </c>
      <c r="G26" s="106" t="n">
        <f aca="false">C26+D26+E26+F26</f>
        <v>130</v>
      </c>
    </row>
    <row r="27" customFormat="false" ht="15" hidden="false" customHeight="true" outlineLevel="0" collapsed="false">
      <c r="A27" s="30" t="s">
        <v>288</v>
      </c>
      <c r="C27" s="22" t="n">
        <v>60</v>
      </c>
      <c r="D27" s="22" t="n">
        <v>25</v>
      </c>
      <c r="E27" s="25" t="n">
        <f aca="false">0</f>
        <v>0</v>
      </c>
      <c r="F27" s="25" t="n">
        <f aca="false">0</f>
        <v>0</v>
      </c>
      <c r="G27" s="106" t="n">
        <f aca="false">C27+D27+E27+F27</f>
        <v>85</v>
      </c>
    </row>
    <row r="28" customFormat="false" ht="15" hidden="false" customHeight="true" outlineLevel="0" collapsed="false">
      <c r="A28" s="30" t="s">
        <v>289</v>
      </c>
      <c r="C28" s="22" t="n">
        <v>25</v>
      </c>
      <c r="D28" s="25" t="n">
        <f aca="false">0</f>
        <v>0</v>
      </c>
      <c r="E28" s="25" t="n">
        <f aca="false">0</f>
        <v>0</v>
      </c>
      <c r="F28" s="25" t="n">
        <f aca="false">0</f>
        <v>0</v>
      </c>
      <c r="G28" s="106" t="n">
        <f aca="false">C28+D28+E28+F28</f>
        <v>25</v>
      </c>
    </row>
    <row r="29" customFormat="false" ht="15" hidden="false" customHeight="true" outlineLevel="0" collapsed="false">
      <c r="A29" s="30" t="s">
        <v>290</v>
      </c>
      <c r="C29" s="22" t="n">
        <v>30</v>
      </c>
      <c r="D29" s="22" t="n">
        <v>10</v>
      </c>
      <c r="E29" s="28" t="n">
        <f aca="false">-5</f>
        <v>-5</v>
      </c>
      <c r="F29" s="25" t="n">
        <f aca="false">0</f>
        <v>0</v>
      </c>
      <c r="G29" s="106" t="n">
        <f aca="false">C29+D29+E29+F29</f>
        <v>35</v>
      </c>
    </row>
    <row r="30" customFormat="false" ht="15" hidden="false" customHeight="true" outlineLevel="0" collapsed="false">
      <c r="A30" s="76" t="s">
        <v>291</v>
      </c>
      <c r="C30" s="21" t="n">
        <f aca="false">SUM(C26:C29)</f>
        <v>205</v>
      </c>
      <c r="D30" s="21" t="n">
        <f aca="false">SUM(D26:D29)</f>
        <v>75</v>
      </c>
      <c r="E30" s="21" t="n">
        <f aca="false">SUM(E26:E29)</f>
        <v>-5</v>
      </c>
      <c r="F30" s="21" t="n">
        <f aca="false">SUM(F26:F29)</f>
        <v>0</v>
      </c>
      <c r="G30" s="107" t="n">
        <f aca="false">C30+D30+E30+F30</f>
        <v>275</v>
      </c>
    </row>
    <row r="31" customFormat="false" ht="15" hidden="false" customHeight="true" outlineLevel="0" collapsed="false">
      <c r="A31" s="75" t="s">
        <v>292</v>
      </c>
      <c r="B31" s="75"/>
      <c r="C31" s="75"/>
      <c r="D31" s="75"/>
      <c r="E31" s="75"/>
      <c r="F31" s="75"/>
      <c r="G31" s="75"/>
    </row>
    <row r="32" customFormat="false" ht="15" hidden="false" customHeight="true" outlineLevel="0" collapsed="false">
      <c r="A32" s="30" t="s">
        <v>293</v>
      </c>
      <c r="C32" s="22" t="n">
        <v>400</v>
      </c>
      <c r="D32" s="25" t="n">
        <f aca="false">0</f>
        <v>0</v>
      </c>
      <c r="E32" s="25" t="n">
        <f aca="false">0</f>
        <v>0</v>
      </c>
      <c r="F32" s="25" t="n">
        <f aca="false">0</f>
        <v>0</v>
      </c>
      <c r="G32" s="106" t="n">
        <f aca="false">C32+D32+E32+F32</f>
        <v>400</v>
      </c>
    </row>
    <row r="33" customFormat="false" ht="15" hidden="false" customHeight="true" outlineLevel="0" collapsed="false">
      <c r="A33" s="30" t="s">
        <v>294</v>
      </c>
      <c r="C33" s="25" t="n">
        <f aca="false">0</f>
        <v>0</v>
      </c>
      <c r="D33" s="22" t="n">
        <v>200</v>
      </c>
      <c r="E33" s="25" t="n">
        <f aca="false">0</f>
        <v>0</v>
      </c>
      <c r="F33" s="28" t="n">
        <f aca="false">-'Sources &amp; Uses'!C15</f>
        <v>-200</v>
      </c>
      <c r="G33" s="106" t="n">
        <f aca="false">C33+D33+E33+F33</f>
        <v>0</v>
      </c>
    </row>
    <row r="34" customFormat="false" ht="15" hidden="false" customHeight="true" outlineLevel="0" collapsed="false">
      <c r="A34" s="30" t="s">
        <v>295</v>
      </c>
      <c r="C34" s="25" t="n">
        <f aca="false">0</f>
        <v>0</v>
      </c>
      <c r="D34" s="25" t="n">
        <f aca="false">0</f>
        <v>0</v>
      </c>
      <c r="E34" s="25" t="n">
        <f aca="false">0</f>
        <v>0</v>
      </c>
      <c r="F34" s="28" t="n">
        <f aca="false">'Txn Assumptions'!C47</f>
        <v>300</v>
      </c>
      <c r="G34" s="106" t="n">
        <f aca="false">C34+D34+E34+F34</f>
        <v>300</v>
      </c>
    </row>
    <row r="35" customFormat="false" ht="15" hidden="false" customHeight="true" outlineLevel="0" collapsed="false">
      <c r="A35" s="30" t="s">
        <v>296</v>
      </c>
      <c r="C35" s="25" t="n">
        <f aca="false">0</f>
        <v>0</v>
      </c>
      <c r="D35" s="25" t="n">
        <f aca="false">0</f>
        <v>0</v>
      </c>
      <c r="E35" s="25" t="n">
        <f aca="false">0</f>
        <v>0</v>
      </c>
      <c r="F35" s="28" t="n">
        <f aca="false">'Txn Assumptions'!C50</f>
        <v>100</v>
      </c>
      <c r="G35" s="106" t="n">
        <f aca="false">C35+D35+E35+F35</f>
        <v>100</v>
      </c>
    </row>
    <row r="36" customFormat="false" ht="15" hidden="false" customHeight="true" outlineLevel="0" collapsed="false">
      <c r="A36" s="30" t="s">
        <v>297</v>
      </c>
      <c r="C36" s="25" t="n">
        <f aca="false">0</f>
        <v>0</v>
      </c>
      <c r="D36" s="25" t="n">
        <f aca="false">0</f>
        <v>0</v>
      </c>
      <c r="E36" s="25" t="n">
        <f aca="false">0</f>
        <v>0</v>
      </c>
      <c r="F36" s="28" t="n">
        <f aca="false">'Txn Assumptions'!C53</f>
        <v>2713</v>
      </c>
      <c r="G36" s="106" t="n">
        <f aca="false">C36+D36+E36+F36</f>
        <v>2713</v>
      </c>
    </row>
    <row r="37" customFormat="false" ht="15" hidden="false" customHeight="true" outlineLevel="0" collapsed="false">
      <c r="A37" s="30" t="s">
        <v>298</v>
      </c>
      <c r="C37" s="22" t="n">
        <v>50</v>
      </c>
      <c r="D37" s="25" t="n">
        <f aca="false">0</f>
        <v>0</v>
      </c>
      <c r="E37" s="68" t="n">
        <f aca="false">PPA!D59</f>
        <v>47.5</v>
      </c>
      <c r="F37" s="25" t="n">
        <f aca="false">0</f>
        <v>0</v>
      </c>
      <c r="G37" s="106" t="n">
        <f aca="false">C37+D37+E37+F37</f>
        <v>97.5</v>
      </c>
    </row>
    <row r="38" customFormat="false" ht="15" hidden="false" customHeight="true" outlineLevel="0" collapsed="false">
      <c r="A38" s="30" t="s">
        <v>299</v>
      </c>
      <c r="C38" s="22" t="n">
        <v>30</v>
      </c>
      <c r="D38" s="22" t="n">
        <v>15</v>
      </c>
      <c r="E38" s="25" t="n">
        <f aca="false">0</f>
        <v>0</v>
      </c>
      <c r="F38" s="25" t="n">
        <f aca="false">0</f>
        <v>0</v>
      </c>
      <c r="G38" s="106" t="n">
        <f aca="false">C38+D38+E38+F38</f>
        <v>45</v>
      </c>
    </row>
    <row r="39" customFormat="false" ht="15" hidden="false" customHeight="true" outlineLevel="0" collapsed="false">
      <c r="A39" s="76" t="s">
        <v>300</v>
      </c>
      <c r="C39" s="21" t="n">
        <f aca="false">SUM(C32:C38)</f>
        <v>480</v>
      </c>
      <c r="D39" s="21" t="n">
        <f aca="false">SUM(D32:D38)</f>
        <v>215</v>
      </c>
      <c r="E39" s="21" t="n">
        <f aca="false">SUM(E32:E38)</f>
        <v>47.5</v>
      </c>
      <c r="F39" s="21" t="n">
        <f aca="false">SUM(F32:F38)</f>
        <v>2913</v>
      </c>
      <c r="G39" s="107" t="n">
        <f aca="false">C39+D39+E39+F39</f>
        <v>3655.5</v>
      </c>
    </row>
    <row r="40" customFormat="false" ht="15.75" hidden="false" customHeight="true" outlineLevel="0" collapsed="false">
      <c r="A40" s="113" t="s">
        <v>301</v>
      </c>
      <c r="C40" s="114" t="n">
        <f aca="false">C30+C39</f>
        <v>685</v>
      </c>
      <c r="D40" s="114" t="n">
        <f aca="false">D30+D39</f>
        <v>290</v>
      </c>
      <c r="E40" s="114" t="n">
        <f aca="false">E30+E39</f>
        <v>42.5</v>
      </c>
      <c r="F40" s="114" t="n">
        <f aca="false">F30+F39</f>
        <v>2913</v>
      </c>
      <c r="G40" s="115" t="n">
        <f aca="false">C40+D40+E40+F40</f>
        <v>3930.5</v>
      </c>
    </row>
    <row r="42" customFormat="false" ht="15" hidden="false" customHeight="true" outlineLevel="0" collapsed="false">
      <c r="A42" s="11" t="s">
        <v>302</v>
      </c>
      <c r="B42" s="11"/>
      <c r="C42" s="11"/>
      <c r="D42" s="11"/>
      <c r="E42" s="11"/>
      <c r="F42" s="11"/>
      <c r="G42" s="11"/>
    </row>
    <row r="43" customFormat="false" ht="15" hidden="false" customHeight="true" outlineLevel="0" collapsed="false">
      <c r="A43" s="30" t="s">
        <v>303</v>
      </c>
      <c r="C43" s="22" t="n">
        <v>500</v>
      </c>
      <c r="D43" s="25" t="n">
        <f aca="false">0</f>
        <v>0</v>
      </c>
      <c r="E43" s="25" t="n">
        <f aca="false">0</f>
        <v>0</v>
      </c>
      <c r="F43" s="28" t="n">
        <f aca="false">'Txn Assumptions'!C34</f>
        <v>1950</v>
      </c>
      <c r="G43" s="106" t="n">
        <f aca="false">C43+D43+E43+F43</f>
        <v>2450</v>
      </c>
    </row>
    <row r="44" customFormat="false" ht="15" hidden="false" customHeight="true" outlineLevel="0" collapsed="false">
      <c r="A44" s="30" t="s">
        <v>304</v>
      </c>
      <c r="C44" s="25" t="n">
        <f aca="false">0</f>
        <v>0</v>
      </c>
      <c r="D44" s="22" t="n">
        <v>250</v>
      </c>
      <c r="E44" s="25" t="n">
        <f aca="false">0</f>
        <v>0</v>
      </c>
      <c r="F44" s="25" t="n">
        <f aca="false">-D44</f>
        <v>-250</v>
      </c>
      <c r="G44" s="106" t="n">
        <f aca="false">C44+D44+E44+F44</f>
        <v>0</v>
      </c>
    </row>
    <row r="45" customFormat="false" ht="15" hidden="false" customHeight="true" outlineLevel="0" collapsed="false">
      <c r="A45" s="30" t="s">
        <v>305</v>
      </c>
      <c r="C45" s="22" t="n">
        <v>350</v>
      </c>
      <c r="D45" s="25" t="n">
        <f aca="false">0</f>
        <v>0</v>
      </c>
      <c r="E45" s="25" t="n">
        <f aca="false">0</f>
        <v>0</v>
      </c>
      <c r="F45" s="68" t="n">
        <f aca="false">-('Sources &amp; Uses'!C17+'Sources &amp; Uses'!C18)*(1-'Txn Assumptions'!C59)</f>
        <v>-22.5</v>
      </c>
      <c r="G45" s="106" t="n">
        <f aca="false">C45+D45+E45+F45</f>
        <v>327.5</v>
      </c>
    </row>
    <row r="46" customFormat="false" ht="15" hidden="false" customHeight="true" outlineLevel="0" collapsed="false">
      <c r="A46" s="30" t="s">
        <v>306</v>
      </c>
      <c r="C46" s="25" t="n">
        <f aca="false">0</f>
        <v>0</v>
      </c>
      <c r="D46" s="22" t="n">
        <v>-80</v>
      </c>
      <c r="E46" s="25" t="n">
        <f aca="false">0</f>
        <v>0</v>
      </c>
      <c r="F46" s="25" t="n">
        <f aca="false">-D46</f>
        <v>80</v>
      </c>
      <c r="G46" s="106" t="n">
        <f aca="false">C46+D46+E46+F46</f>
        <v>0</v>
      </c>
    </row>
    <row r="47" customFormat="false" ht="15" hidden="false" customHeight="true" outlineLevel="0" collapsed="false">
      <c r="A47" s="30" t="s">
        <v>307</v>
      </c>
      <c r="C47" s="22" t="n">
        <v>-50</v>
      </c>
      <c r="D47" s="25" t="n">
        <f aca="false">0</f>
        <v>0</v>
      </c>
      <c r="E47" s="25" t="n">
        <f aca="false">0</f>
        <v>0</v>
      </c>
      <c r="F47" s="25" t="n">
        <f aca="false">0</f>
        <v>0</v>
      </c>
      <c r="G47" s="106" t="n">
        <f aca="false">C47+D47+E47+F47</f>
        <v>-50</v>
      </c>
    </row>
    <row r="48" customFormat="false" ht="15.75" hidden="false" customHeight="true" outlineLevel="0" collapsed="false">
      <c r="A48" s="116" t="s">
        <v>308</v>
      </c>
      <c r="C48" s="117" t="n">
        <f aca="false">SUM(C43:C47)</f>
        <v>800</v>
      </c>
      <c r="D48" s="117" t="n">
        <f aca="false">SUM(D43:D47)</f>
        <v>170</v>
      </c>
      <c r="E48" s="117" t="n">
        <f aca="false">SUM(E43:E47)</f>
        <v>0</v>
      </c>
      <c r="F48" s="117" t="n">
        <f aca="false">SUM(F43:F47)</f>
        <v>1757.5</v>
      </c>
      <c r="G48" s="118" t="n">
        <f aca="false">C48+D48+E48+F48</f>
        <v>2727.5</v>
      </c>
    </row>
    <row r="49" customFormat="false" ht="15.75" hidden="false" customHeight="true" outlineLevel="0" collapsed="false">
      <c r="A49" s="119" t="s">
        <v>309</v>
      </c>
      <c r="C49" s="120" t="n">
        <f aca="false">C40+C48</f>
        <v>1485</v>
      </c>
      <c r="D49" s="120" t="n">
        <f aca="false">D40+D48</f>
        <v>460</v>
      </c>
      <c r="E49" s="120" t="n">
        <f aca="false">E40+E48</f>
        <v>42.5</v>
      </c>
      <c r="F49" s="120" t="n">
        <f aca="false">F40+F48</f>
        <v>4670.5</v>
      </c>
      <c r="G49" s="121" t="n">
        <f aca="false">C49+D49+E49+F49</f>
        <v>6658</v>
      </c>
    </row>
    <row r="51" customFormat="false" ht="15" hidden="false" customHeight="true" outlineLevel="0" collapsed="false">
      <c r="A51" s="48" t="s">
        <v>310</v>
      </c>
      <c r="B51" s="48"/>
      <c r="C51" s="48"/>
      <c r="D51" s="48"/>
      <c r="E51" s="48"/>
      <c r="F51" s="48"/>
      <c r="G51" s="48"/>
    </row>
    <row r="52" customFormat="false" ht="15" hidden="false" customHeight="true" outlineLevel="0" collapsed="false">
      <c r="A52" s="76" t="s">
        <v>311</v>
      </c>
      <c r="G52" s="77" t="n">
        <f aca="false">G22-G40-G48</f>
        <v>87</v>
      </c>
    </row>
    <row r="53" customFormat="false" ht="15" hidden="false" customHeight="true" outlineLevel="0" collapsed="false">
      <c r="A53" s="30" t="s">
        <v>312</v>
      </c>
      <c r="C53" s="25" t="n">
        <f aca="false">C22-C40-C48</f>
        <v>5</v>
      </c>
    </row>
    <row r="55" customFormat="false" ht="15" hidden="false" customHeight="true" outlineLevel="0" collapsed="false">
      <c r="A55" s="11" t="s">
        <v>313</v>
      </c>
      <c r="B55" s="11"/>
      <c r="C55" s="11"/>
      <c r="D55" s="11"/>
      <c r="E55" s="11"/>
      <c r="F55" s="11"/>
      <c r="G55" s="11"/>
    </row>
    <row r="56" customFormat="false" ht="15" hidden="false" customHeight="true" outlineLevel="0" collapsed="false">
      <c r="A56" s="76" t="s">
        <v>314</v>
      </c>
      <c r="G56" s="77" t="n">
        <f aca="false">G22</f>
        <v>6745</v>
      </c>
    </row>
    <row r="57" customFormat="false" ht="15" hidden="false" customHeight="true" outlineLevel="0" collapsed="false">
      <c r="A57" s="76" t="s">
        <v>315</v>
      </c>
      <c r="G57" s="77" t="n">
        <f aca="false">400+25+'Txn Assumptions'!C56</f>
        <v>3538</v>
      </c>
    </row>
    <row r="58" customFormat="false" ht="15" hidden="false" customHeight="true" outlineLevel="0" collapsed="false">
      <c r="A58" s="76" t="s">
        <v>316</v>
      </c>
      <c r="G58" s="77" t="n">
        <f aca="false">G9</f>
        <v>192</v>
      </c>
    </row>
    <row r="59" customFormat="false" ht="15" hidden="false" customHeight="true" outlineLevel="0" collapsed="false">
      <c r="A59" s="76" t="s">
        <v>317</v>
      </c>
      <c r="G59" s="77" t="n">
        <f aca="false">G57-G58</f>
        <v>3346</v>
      </c>
    </row>
    <row r="60" customFormat="false" ht="15" hidden="false" customHeight="true" outlineLevel="0" collapsed="false">
      <c r="A60" s="76" t="s">
        <v>318</v>
      </c>
      <c r="G60" s="77" t="n">
        <f aca="false">G18</f>
        <v>4780</v>
      </c>
    </row>
    <row r="61" customFormat="false" ht="15" hidden="false" customHeight="true" outlineLevel="0" collapsed="false">
      <c r="A61" s="12" t="s">
        <v>319</v>
      </c>
      <c r="G61" s="24" t="n">
        <f aca="false">IF(G22=0,0,G60/G22)</f>
        <v>0.708673091178651</v>
      </c>
    </row>
    <row r="62" customFormat="false" ht="15" hidden="false" customHeight="true" outlineLevel="0" collapsed="false">
      <c r="A62" s="76" t="s">
        <v>320</v>
      </c>
      <c r="G62" s="122" t="n">
        <f aca="false">IF('Pro-Forma IS'!C52=0,0,G57/'Pro-Forma IS'!C52)</f>
        <v>0</v>
      </c>
    </row>
    <row r="63" customFormat="false" ht="15" hidden="false" customHeight="true" outlineLevel="0" collapsed="false">
      <c r="A63" s="76" t="s">
        <v>321</v>
      </c>
      <c r="G63" s="122" t="n">
        <f aca="false">IF('Pro-Forma IS'!C52=0,0,G59/'Pro-Forma IS'!C52)</f>
        <v>0</v>
      </c>
    </row>
    <row r="65" customFormat="false" ht="15" hidden="false" customHeight="false" outlineLevel="0" collapsed="false">
      <c r="A65" s="51" t="s">
        <v>322</v>
      </c>
      <c r="B65" s="51"/>
      <c r="C65" s="51"/>
      <c r="D65" s="51"/>
      <c r="E65" s="51"/>
      <c r="F65" s="51"/>
      <c r="G65" s="51"/>
    </row>
    <row r="66" customFormat="false" ht="15" hidden="false" customHeight="false" outlineLevel="0" collapsed="false">
      <c r="A66" s="123" t="s">
        <v>323</v>
      </c>
      <c r="G66" s="68" t="n">
        <f aca="false">'Sources &amp; Uses'!C17+'Sources &amp; Uses'!C18</f>
        <v>30</v>
      </c>
    </row>
    <row r="67" customFormat="false" ht="15" hidden="false" customHeight="false" outlineLevel="0" collapsed="false">
      <c r="A67" s="124" t="s">
        <v>324</v>
      </c>
      <c r="G67" s="125" t="n">
        <f aca="false">-('Sources &amp; Uses'!C17+'Sources &amp; Uses'!C18)*(1-'Txn Assumptions'!C59)</f>
        <v>-22.5</v>
      </c>
    </row>
    <row r="68" customFormat="false" ht="15" hidden="false" customHeight="false" outlineLevel="0" collapsed="false">
      <c r="A68" s="123" t="s">
        <v>325</v>
      </c>
      <c r="G68" s="68" t="n">
        <f aca="false">'Sources &amp; Uses'!C16</f>
        <v>8</v>
      </c>
    </row>
    <row r="69" customFormat="false" ht="15" hidden="false" customHeight="false" outlineLevel="0" collapsed="false">
      <c r="A69" s="124" t="s">
        <v>326</v>
      </c>
      <c r="G69" s="69" t="n">
        <f aca="false">-'Sources &amp; Uses'!C16/5</f>
        <v>-1.6</v>
      </c>
    </row>
    <row r="70" customFormat="false" ht="15" hidden="false" customHeight="false" outlineLevel="0" collapsed="false">
      <c r="A70" s="123" t="s">
        <v>327</v>
      </c>
      <c r="G70" s="68" t="n">
        <f aca="false">PPA!D59</f>
        <v>47.5</v>
      </c>
    </row>
    <row r="71" customFormat="false" ht="15" hidden="false" customHeight="false" outlineLevel="0" collapsed="false">
      <c r="A71" s="124" t="s">
        <v>328</v>
      </c>
      <c r="G71" s="126" t="n">
        <f aca="false">'Txn Assumptions'!C59</f>
        <v>0.25</v>
      </c>
    </row>
    <row r="72" customFormat="false" ht="15" hidden="false" customHeight="false" outlineLevel="0" collapsed="false">
      <c r="A72" s="123" t="s">
        <v>329</v>
      </c>
      <c r="G72" s="69" t="n">
        <f aca="false">-'Sources &amp; Uses'!C5*0.03</f>
        <v>-1.5</v>
      </c>
    </row>
  </sheetData>
  <mergeCells count="11">
    <mergeCell ref="A2:H2"/>
    <mergeCell ref="A7:G7"/>
    <mergeCell ref="A8:G8"/>
    <mergeCell ref="A14:G14"/>
    <mergeCell ref="A24:G24"/>
    <mergeCell ref="A25:G25"/>
    <mergeCell ref="A31:G31"/>
    <mergeCell ref="A42:G42"/>
    <mergeCell ref="A51:G51"/>
    <mergeCell ref="A55:G55"/>
    <mergeCell ref="A65:G65"/>
  </mergeCells>
  <conditionalFormatting sqref="G52">
    <cfRule type="cellIs" priority="2" operator="equal" aboveAverage="0" equalAverage="0" bottom="0" percent="0" rank="0" text="" dxfId="2">
      <formula>0</formula>
    </cfRule>
    <cfRule type="cellIs" priority="3" operator="notEqual" aboveAverage="0" equalAverage="0" bottom="0" percent="0" rank="0" text="" dxfId="3">
      <formula>0</formula>
    </cfRule>
  </conditionalFormatting>
  <conditionalFormatting sqref="C53">
    <cfRule type="cellIs" priority="4" operator="equal" aboveAverage="0" equalAverage="0" bottom="0" percent="0" rank="0" text="" dxfId="1">
      <formula>0</formula>
    </cfRule>
    <cfRule type="cellIs" priority="5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"/>
    <col collapsed="false" customWidth="true" hidden="false" outlineLevel="0" max="8" min="3" style="1" width="14"/>
    <col collapsed="false" customWidth="true" hidden="false" outlineLevel="0" max="9" min="9" style="1" width="10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54" t="s">
        <v>330</v>
      </c>
      <c r="B2" s="54"/>
      <c r="C2" s="54"/>
      <c r="D2" s="54"/>
      <c r="E2" s="54"/>
      <c r="F2" s="54"/>
      <c r="G2" s="54"/>
      <c r="H2" s="54"/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30" hidden="false" customHeight="true" outlineLevel="0" collapsed="false">
      <c r="A5" s="9" t="s">
        <v>331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10" t="s">
        <v>31</v>
      </c>
    </row>
    <row r="7" customFormat="false" ht="15" hidden="false" customHeight="true" outlineLevel="0" collapsed="false">
      <c r="A7" s="11" t="s">
        <v>332</v>
      </c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12" t="s">
        <v>333</v>
      </c>
      <c r="C8" s="28" t="n">
        <f aca="false">'Acquiror IS'!C31</f>
        <v>0.645</v>
      </c>
      <c r="D8" s="28" t="n">
        <f aca="false">'Acquiror IS'!D31</f>
        <v>0.7026</v>
      </c>
      <c r="E8" s="28" t="n">
        <f aca="false">'Acquiror IS'!E31</f>
        <v>0.765</v>
      </c>
      <c r="F8" s="28" t="n">
        <f aca="false">'Acquiror IS'!F31</f>
        <v>0.8322</v>
      </c>
      <c r="G8" s="28" t="n">
        <f aca="false">'Acquiror IS'!G31</f>
        <v>0.9042</v>
      </c>
      <c r="H8" s="28" t="n">
        <f aca="false">'Acquiror IS'!H31</f>
        <v>0.981</v>
      </c>
    </row>
    <row r="9" customFormat="false" ht="15" hidden="false" customHeight="true" outlineLevel="0" collapsed="false">
      <c r="A9" s="12" t="s">
        <v>334</v>
      </c>
      <c r="C9" s="28" t="n">
        <f aca="false">'Pro-Forma IS'!C45</f>
        <v>0.125287022292994</v>
      </c>
      <c r="D9" s="28" t="n">
        <f aca="false">'Pro-Forma IS'!D45</f>
        <v>0.345856289808917</v>
      </c>
      <c r="E9" s="28" t="n">
        <f aca="false">'Pro-Forma IS'!E45</f>
        <v>0.514797372611465</v>
      </c>
      <c r="F9" s="28" t="n">
        <f aca="false">'Pro-Forma IS'!F45</f>
        <v>0.695167595541401</v>
      </c>
      <c r="G9" s="28" t="n">
        <f aca="false">'Pro-Forma IS'!G45</f>
        <v>0.844928742038216</v>
      </c>
      <c r="H9" s="28" t="n">
        <f aca="false">'Pro-Forma IS'!H45</f>
        <v>0.97721775477707</v>
      </c>
    </row>
    <row r="10" customFormat="false" ht="15" hidden="false" customHeight="true" outlineLevel="0" collapsed="false">
      <c r="A10" s="76" t="s">
        <v>335</v>
      </c>
      <c r="C10" s="127" t="n">
        <f aca="false">C9-C8</f>
        <v>-0.519712977707006</v>
      </c>
      <c r="D10" s="127" t="n">
        <f aca="false">D9-D8</f>
        <v>-0.356743710191083</v>
      </c>
      <c r="E10" s="127" t="n">
        <f aca="false">E9-E8</f>
        <v>-0.250202627388535</v>
      </c>
      <c r="F10" s="127" t="n">
        <f aca="false">F9-F8</f>
        <v>-0.137032404458599</v>
      </c>
      <c r="G10" s="127" t="n">
        <f aca="false">G9-G8</f>
        <v>-0.0592712579617835</v>
      </c>
      <c r="H10" s="127" t="n">
        <f aca="false">H9-H8</f>
        <v>-0.00378224522293003</v>
      </c>
    </row>
    <row r="11" customFormat="false" ht="15" hidden="false" customHeight="true" outlineLevel="0" collapsed="false">
      <c r="A11" s="19" t="s">
        <v>336</v>
      </c>
      <c r="B11" s="58"/>
      <c r="C11" s="128" t="n">
        <f aca="false">IF(C8=0,0,C10/C8)</f>
        <v>-0.805756554584506</v>
      </c>
      <c r="D11" s="128" t="n">
        <f aca="false">IF(D8=0,0,D10/D8)</f>
        <v>-0.507747950741649</v>
      </c>
      <c r="E11" s="128" t="n">
        <f aca="false">IF(E8=0,0,E10/E8)</f>
        <v>-0.327062258024229</v>
      </c>
      <c r="F11" s="128" t="n">
        <f aca="false">IF(F8=0,0,F10/F8)</f>
        <v>-0.16466282679476</v>
      </c>
      <c r="G11" s="128" t="n">
        <f aca="false">IF(G8=0,0,G10/G8)</f>
        <v>-0.0655510483983449</v>
      </c>
      <c r="H11" s="128" t="n">
        <f aca="false">IF(H8=0,0,H10/H8)</f>
        <v>-0.00385549971756374</v>
      </c>
      <c r="I11" s="58"/>
    </row>
    <row r="13" customFormat="false" ht="15" hidden="false" customHeight="true" outlineLevel="0" collapsed="false">
      <c r="A13" s="11" t="s">
        <v>337</v>
      </c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true" outlineLevel="0" collapsed="false">
      <c r="A14" s="12" t="s">
        <v>338</v>
      </c>
      <c r="C14" s="28" t="n">
        <f aca="false">'Acquiror IS'!C27</f>
        <v>161.25</v>
      </c>
      <c r="D14" s="28" t="n">
        <f aca="false">'Acquiror IS'!D27</f>
        <v>175.65</v>
      </c>
      <c r="E14" s="28" t="n">
        <f aca="false">'Acquiror IS'!E27</f>
        <v>191.25</v>
      </c>
      <c r="F14" s="28" t="n">
        <f aca="false">'Acquiror IS'!F27</f>
        <v>208.05</v>
      </c>
      <c r="G14" s="28" t="n">
        <f aca="false">'Acquiror IS'!G27</f>
        <v>226.05</v>
      </c>
      <c r="H14" s="28" t="n">
        <f aca="false">'Acquiror IS'!H27</f>
        <v>245.25</v>
      </c>
    </row>
    <row r="15" customFormat="false" ht="15" hidden="false" customHeight="true" outlineLevel="0" collapsed="false">
      <c r="A15" s="12" t="s">
        <v>339</v>
      </c>
      <c r="C15" s="28" t="n">
        <f aca="false">'Target IS'!C26</f>
        <v>45.75</v>
      </c>
      <c r="D15" s="28" t="n">
        <f aca="false">'Target IS'!D26</f>
        <v>50.8125</v>
      </c>
      <c r="E15" s="28" t="n">
        <f aca="false">'Target IS'!E26</f>
        <v>56.4375</v>
      </c>
      <c r="F15" s="28" t="n">
        <f aca="false">'Target IS'!F26</f>
        <v>62.625</v>
      </c>
      <c r="G15" s="28" t="n">
        <f aca="false">'Target IS'!G26</f>
        <v>69.375</v>
      </c>
      <c r="H15" s="28" t="n">
        <f aca="false">'Target IS'!H26</f>
        <v>76.6875</v>
      </c>
    </row>
    <row r="16" customFormat="false" ht="15" hidden="false" customHeight="true" outlineLevel="0" collapsed="false">
      <c r="A16" s="12" t="s">
        <v>340</v>
      </c>
      <c r="C16" s="28" t="n">
        <f aca="false">'Synergy Schedule'!C11*(1-0.25)</f>
        <v>0</v>
      </c>
      <c r="D16" s="28" t="n">
        <f aca="false">'Synergy Schedule'!D11*(1-0.25)</f>
        <v>6</v>
      </c>
      <c r="E16" s="28" t="n">
        <f aca="false">'Synergy Schedule'!E11*(1-0.25)</f>
        <v>15.75</v>
      </c>
      <c r="F16" s="28" t="n">
        <f aca="false">'Synergy Schedule'!F11*(1-0.25)</f>
        <v>27.75</v>
      </c>
      <c r="G16" s="28" t="n">
        <f aca="false">'Synergy Schedule'!G11*(1-0.25)</f>
        <v>37.5</v>
      </c>
      <c r="H16" s="28" t="n">
        <f aca="false">'Synergy Schedule'!H11*(1-0.25)</f>
        <v>43.5</v>
      </c>
    </row>
    <row r="17" customFormat="false" ht="15" hidden="false" customHeight="true" outlineLevel="0" collapsed="false">
      <c r="A17" s="12" t="s">
        <v>341</v>
      </c>
      <c r="C17" s="28" t="n">
        <f aca="false">'Synergy Schedule'!C19*(1-0.25)</f>
        <v>0</v>
      </c>
      <c r="D17" s="28" t="n">
        <f aca="false">'Synergy Schedule'!D19*(1-0.25)</f>
        <v>11.25</v>
      </c>
      <c r="E17" s="28" t="n">
        <f aca="false">'Synergy Schedule'!E19*(1-0.25)</f>
        <v>28.5</v>
      </c>
      <c r="F17" s="28" t="n">
        <f aca="false">'Synergy Schedule'!F19*(1-0.25)</f>
        <v>45</v>
      </c>
      <c r="G17" s="28" t="n">
        <f aca="false">'Synergy Schedule'!G19*(1-0.25)</f>
        <v>53.25</v>
      </c>
      <c r="H17" s="28" t="n">
        <f aca="false">'Synergy Schedule'!H19*(1-0.25)</f>
        <v>58.5</v>
      </c>
    </row>
    <row r="18" customFormat="false" ht="15" hidden="false" customHeight="true" outlineLevel="0" collapsed="false">
      <c r="A18" s="12" t="s">
        <v>342</v>
      </c>
      <c r="C18" s="28" t="n">
        <f aca="false">'Pro-Forma IS'!C27*(1-0.25)</f>
        <v>-15</v>
      </c>
      <c r="D18" s="28" t="n">
        <f aca="false">'Pro-Forma IS'!D27*(1-0.25)</f>
        <v>-15</v>
      </c>
      <c r="E18" s="28" t="n">
        <f aca="false">'Pro-Forma IS'!E27*(1-0.25)</f>
        <v>-15</v>
      </c>
      <c r="F18" s="28" t="n">
        <f aca="false">'Pro-Forma IS'!F27*(1-0.25)</f>
        <v>-15</v>
      </c>
      <c r="G18" s="28" t="n">
        <f aca="false">'Pro-Forma IS'!G27*(1-0.25)</f>
        <v>-15</v>
      </c>
      <c r="H18" s="28" t="n">
        <f aca="false">'Pro-Forma IS'!H27*(1-0.25)</f>
        <v>-15</v>
      </c>
    </row>
    <row r="19" customFormat="false" ht="15" hidden="false" customHeight="true" outlineLevel="0" collapsed="false">
      <c r="A19" s="12" t="s">
        <v>343</v>
      </c>
      <c r="C19" s="28" t="n">
        <f aca="false">-('Txn Assumptions'!C47*'Txn Assumptions'!C48+'Txn Assumptions'!C50*'Txn Assumptions'!C51+'Txn Assumptions'!C53*'Txn Assumptions'!C54)*(1-0.25)</f>
        <v>-134.41125</v>
      </c>
      <c r="D19" s="28" t="n">
        <f aca="false">-('Txn Assumptions'!C47*'Txn Assumptions'!C48+'Txn Assumptions'!C50*'Txn Assumptions'!C51+'Txn Assumptions'!C53*'Txn Assumptions'!C54)*(1-0.25)</f>
        <v>-134.41125</v>
      </c>
      <c r="E19" s="28" t="n">
        <f aca="false">-('Txn Assumptions'!C47*'Txn Assumptions'!C48+'Txn Assumptions'!C50*'Txn Assumptions'!C51+'Txn Assumptions'!C53*'Txn Assumptions'!C54)*(1-0.25)</f>
        <v>-134.41125</v>
      </c>
      <c r="F19" s="28" t="n">
        <f aca="false">-('Txn Assumptions'!C47*'Txn Assumptions'!C48+'Txn Assumptions'!C50*'Txn Assumptions'!C51+'Txn Assumptions'!C53*'Txn Assumptions'!C54)*(1-0.25)</f>
        <v>-134.41125</v>
      </c>
      <c r="G19" s="28" t="n">
        <f aca="false">-('Txn Assumptions'!C47*'Txn Assumptions'!C48+'Txn Assumptions'!C50*'Txn Assumptions'!C51+'Txn Assumptions'!C53*'Txn Assumptions'!C54)*(1-0.25)</f>
        <v>-134.41125</v>
      </c>
      <c r="H19" s="28" t="n">
        <f aca="false">-('Txn Assumptions'!C47*'Txn Assumptions'!C48+'Txn Assumptions'!C50*'Txn Assumptions'!C51+'Txn Assumptions'!C53*'Txn Assumptions'!C54)*(1-0.25)</f>
        <v>-134.41125</v>
      </c>
    </row>
    <row r="20" customFormat="false" ht="15" hidden="false" customHeight="true" outlineLevel="0" collapsed="false">
      <c r="A20" s="12" t="s">
        <v>344</v>
      </c>
      <c r="C20" s="22" t="n">
        <v>-30</v>
      </c>
      <c r="D20" s="25" t="n">
        <f aca="false">0</f>
        <v>0</v>
      </c>
      <c r="E20" s="25" t="n">
        <f aca="false">0</f>
        <v>0</v>
      </c>
      <c r="F20" s="25" t="n">
        <f aca="false">0</f>
        <v>0</v>
      </c>
      <c r="G20" s="25" t="n">
        <f aca="false">0</f>
        <v>0</v>
      </c>
      <c r="H20" s="25" t="n">
        <f aca="false">0</f>
        <v>0</v>
      </c>
    </row>
    <row r="21" customFormat="false" ht="15" hidden="false" customHeight="true" outlineLevel="0" collapsed="false">
      <c r="A21" s="19" t="s">
        <v>345</v>
      </c>
      <c r="B21" s="58"/>
      <c r="C21" s="129" t="n">
        <f aca="false">'Pro-Forma IS'!C41</f>
        <v>35.76375</v>
      </c>
      <c r="D21" s="129" t="n">
        <f aca="false">'Pro-Forma IS'!D41</f>
        <v>98.72625</v>
      </c>
      <c r="E21" s="129" t="n">
        <f aca="false">'Pro-Forma IS'!E41</f>
        <v>146.95125</v>
      </c>
      <c r="F21" s="129" t="n">
        <f aca="false">'Pro-Forma IS'!F41</f>
        <v>198.43875</v>
      </c>
      <c r="G21" s="129" t="n">
        <f aca="false">'Pro-Forma IS'!G41</f>
        <v>241.18875</v>
      </c>
      <c r="H21" s="129" t="n">
        <f aca="false">'Pro-Forma IS'!H41</f>
        <v>278.95125</v>
      </c>
      <c r="I21" s="58"/>
    </row>
    <row r="23" customFormat="false" ht="15" hidden="false" customHeight="true" outlineLevel="0" collapsed="false">
      <c r="A23" s="11" t="s">
        <v>346</v>
      </c>
      <c r="B23" s="11"/>
      <c r="C23" s="11"/>
      <c r="D23" s="11"/>
      <c r="E23" s="11"/>
      <c r="F23" s="11"/>
      <c r="G23" s="11"/>
      <c r="H23" s="11"/>
      <c r="I23" s="11"/>
    </row>
    <row r="24" customFormat="false" ht="15" hidden="false" customHeight="true" outlineLevel="0" collapsed="false">
      <c r="A24" s="12" t="s">
        <v>347</v>
      </c>
      <c r="C24" s="25" t="n">
        <f aca="false">IF(C8=0,0,(C8-C9)*'Txn Assumptions'!C50/(1-0.25))</f>
        <v>69.2950636942675</v>
      </c>
      <c r="D24" s="25" t="n">
        <f aca="false">IF(D8=0,0,(D8-D9)*'Txn Assumptions'!C50/(1-0.25))</f>
        <v>47.5658280254777</v>
      </c>
      <c r="E24" s="25" t="n">
        <f aca="false">IF(E8=0,0,(E8-E9)*'Txn Assumptions'!C50/(1-0.25))</f>
        <v>33.3603503184713</v>
      </c>
      <c r="F24" s="25" t="n">
        <f aca="false">IF(F8=0,0,(F8-F9)*'Txn Assumptions'!C50/(1-0.25))</f>
        <v>18.2709872611465</v>
      </c>
      <c r="G24" s="25" t="n">
        <f aca="false">IF(G8=0,0,(G8-G9)*'Txn Assumptions'!C50/(1-0.25))</f>
        <v>7.90283439490446</v>
      </c>
      <c r="H24" s="25" t="n">
        <f aca="false">IF(H8=0,0,(H8-H9)*'Txn Assumptions'!C50/(1-0.25))</f>
        <v>0.504299363057337</v>
      </c>
    </row>
    <row r="25" customFormat="false" ht="15" hidden="false" customHeight="true" outlineLevel="0" collapsed="false">
      <c r="A25" s="30" t="s">
        <v>348</v>
      </c>
      <c r="C25" s="24" t="n">
        <f aca="false">IF('Txn Assumptions'!C18=0,0,C24/'Txn Assumptions'!C18)</f>
        <v>0.013872885624478</v>
      </c>
      <c r="D25" s="24" t="n">
        <f aca="false">IF('Txn Assumptions'!C18=0,0,D24/'Txn Assumptions'!C18)</f>
        <v>0.00952268829338892</v>
      </c>
      <c r="E25" s="24" t="n">
        <f aca="false">IF('Txn Assumptions'!C18=0,0,E24/'Txn Assumptions'!C18)</f>
        <v>0.00667874881250677</v>
      </c>
      <c r="F25" s="24" t="n">
        <f aca="false">IF('Txn Assumptions'!C18=0,0,F24/'Txn Assumptions'!C18)</f>
        <v>0.00365785530753684</v>
      </c>
      <c r="G25" s="24" t="n">
        <f aca="false">IF('Txn Assumptions'!C18=0,0,G24/'Txn Assumptions'!C18)</f>
        <v>0.0015821490280089</v>
      </c>
      <c r="H25" s="24" t="n">
        <f aca="false">IF('Txn Assumptions'!C18=0,0,H24/'Txn Assumptions'!C18)</f>
        <v>0.000100960833444912</v>
      </c>
    </row>
    <row r="27" customFormat="false" ht="15" hidden="false" customHeight="true" outlineLevel="0" collapsed="false">
      <c r="A27" s="11" t="s">
        <v>349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true" outlineLevel="0" collapsed="false">
      <c r="A28" s="12" t="s">
        <v>350</v>
      </c>
      <c r="C28" s="28" t="n">
        <f aca="false">'Pro-Forma IS'!C11</f>
        <v>2000</v>
      </c>
      <c r="D28" s="28" t="n">
        <f aca="false">'Pro-Forma IS'!D11</f>
        <v>2173</v>
      </c>
      <c r="E28" s="28" t="n">
        <f aca="false">'Pro-Forma IS'!E11</f>
        <v>2366</v>
      </c>
      <c r="F28" s="28" t="n">
        <f aca="false">'Pro-Forma IS'!F11</f>
        <v>2577</v>
      </c>
      <c r="G28" s="28" t="n">
        <f aca="false">'Pro-Forma IS'!G11</f>
        <v>2800</v>
      </c>
      <c r="H28" s="28" t="n">
        <f aca="false">'Pro-Forma IS'!H11</f>
        <v>3033</v>
      </c>
    </row>
    <row r="29" customFormat="false" ht="15" hidden="false" customHeight="true" outlineLevel="0" collapsed="false">
      <c r="A29" s="12" t="s">
        <v>351</v>
      </c>
      <c r="C29" s="28" t="n">
        <f aca="false">'Pro-Forma IS'!C31</f>
        <v>355</v>
      </c>
      <c r="D29" s="28" t="n">
        <f aca="false">'Pro-Forma IS'!D31</f>
        <v>416</v>
      </c>
      <c r="E29" s="28" t="n">
        <f aca="false">'Pro-Forma IS'!E31</f>
        <v>488</v>
      </c>
      <c r="F29" s="28" t="n">
        <f aca="false">'Pro-Forma IS'!F31</f>
        <v>565</v>
      </c>
      <c r="G29" s="28" t="n">
        <f aca="false">'Pro-Forma IS'!G31</f>
        <v>631</v>
      </c>
      <c r="H29" s="28" t="n">
        <f aca="false">'Pro-Forma IS'!H31</f>
        <v>691</v>
      </c>
    </row>
    <row r="30" customFormat="false" ht="15" hidden="false" customHeight="true" outlineLevel="0" collapsed="false">
      <c r="A30" s="12" t="s">
        <v>352</v>
      </c>
      <c r="C30" s="28" t="n">
        <f aca="false">'Txn Assumptions'!C18</f>
        <v>4995</v>
      </c>
      <c r="D30" s="28" t="n">
        <f aca="false">'Txn Assumptions'!C18</f>
        <v>4995</v>
      </c>
      <c r="E30" s="28" t="n">
        <f aca="false">'Txn Assumptions'!C18</f>
        <v>4995</v>
      </c>
      <c r="F30" s="28" t="n">
        <f aca="false">'Txn Assumptions'!C18</f>
        <v>4995</v>
      </c>
      <c r="G30" s="28" t="n">
        <f aca="false">'Txn Assumptions'!C18</f>
        <v>4995</v>
      </c>
      <c r="H30" s="28" t="n">
        <f aca="false">'Txn Assumptions'!C18</f>
        <v>4995</v>
      </c>
    </row>
    <row r="31" customFormat="false" ht="15" hidden="false" customHeight="true" outlineLevel="0" collapsed="false">
      <c r="A31" s="76" t="s">
        <v>353</v>
      </c>
      <c r="C31" s="122" t="n">
        <f aca="false">IF(C29=0,0,C30/C29)</f>
        <v>14.0704225352113</v>
      </c>
      <c r="D31" s="122" t="n">
        <f aca="false">IF(D29=0,0,D30/D29)</f>
        <v>12.0072115384615</v>
      </c>
      <c r="E31" s="122" t="n">
        <f aca="false">IF(E29=0,0,E30/E29)</f>
        <v>10.2356557377049</v>
      </c>
      <c r="F31" s="122" t="n">
        <f aca="false">IF(F29=0,0,F30/F29)</f>
        <v>8.84070796460177</v>
      </c>
      <c r="G31" s="122" t="n">
        <f aca="false">IF(G29=0,0,G30/G29)</f>
        <v>7.91600633914422</v>
      </c>
      <c r="H31" s="122" t="n">
        <f aca="false">IF(H29=0,0,H30/H29)</f>
        <v>7.22865412445731</v>
      </c>
    </row>
    <row r="32" customFormat="false" ht="15" hidden="false" customHeight="true" outlineLevel="0" collapsed="false">
      <c r="A32" s="76" t="s">
        <v>354</v>
      </c>
      <c r="C32" s="122" t="n">
        <f aca="false">IF(C29=0,0,('Txn Assumptions'!C40+'Txn Assumptions'!C16-50)/C29)</f>
        <v>5.91549295774648</v>
      </c>
      <c r="D32" s="122" t="n">
        <f aca="false">IF(D29=0,0,('Txn Assumptions'!C40+'Txn Assumptions'!C16-50)/D29)</f>
        <v>5.04807692307692</v>
      </c>
      <c r="E32" s="122" t="n">
        <f aca="false">IF(E29=0,0,('Txn Assumptions'!C40+'Txn Assumptions'!C16-50)/E29)</f>
        <v>4.30327868852459</v>
      </c>
      <c r="F32" s="122" t="n">
        <f aca="false">IF(F29=0,0,('Txn Assumptions'!C40+'Txn Assumptions'!C16-50)/F29)</f>
        <v>3.71681415929204</v>
      </c>
      <c r="G32" s="122" t="n">
        <f aca="false">IF(G29=0,0,('Txn Assumptions'!C40+'Txn Assumptions'!C16-50)/G29)</f>
        <v>3.32805071315372</v>
      </c>
      <c r="H32" s="122" t="n">
        <f aca="false">IF(H29=0,0,('Txn Assumptions'!C40+'Txn Assumptions'!C16-50)/H29)</f>
        <v>3.03907380607815</v>
      </c>
    </row>
  </sheetData>
  <mergeCells count="5">
    <mergeCell ref="A2:H2"/>
    <mergeCell ref="A7:I7"/>
    <mergeCell ref="A13:I13"/>
    <mergeCell ref="A23:I23"/>
    <mergeCell ref="A27:I27"/>
  </mergeCells>
  <conditionalFormatting sqref="C11">
    <cfRule type="cellIs" priority="2" operator="greaterThanOrEqual" aboveAverage="0" equalAverage="0" bottom="0" percent="0" rank="0" text="" dxfId="1">
      <formula>0</formula>
    </cfRule>
    <cfRule type="cellIs" priority="3" operator="lessThan" aboveAverage="0" equalAverage="0" bottom="0" percent="0" rank="0" text="" dxfId="4">
      <formula>0</formula>
    </cfRule>
  </conditionalFormatting>
  <conditionalFormatting sqref="D11">
    <cfRule type="cellIs" priority="4" operator="greaterThanOrEqual" aboveAverage="0" equalAverage="0" bottom="0" percent="0" rank="0" text="" dxfId="1">
      <formula>0</formula>
    </cfRule>
    <cfRule type="cellIs" priority="5" operator="lessThan" aboveAverage="0" equalAverage="0" bottom="0" percent="0" rank="0" text="" dxfId="4">
      <formula>0</formula>
    </cfRule>
  </conditionalFormatting>
  <conditionalFormatting sqref="E11">
    <cfRule type="cellIs" priority="6" operator="greaterThanOrEqual" aboveAverage="0" equalAverage="0" bottom="0" percent="0" rank="0" text="" dxfId="1">
      <formula>0</formula>
    </cfRule>
    <cfRule type="cellIs" priority="7" operator="lessThan" aboveAverage="0" equalAverage="0" bottom="0" percent="0" rank="0" text="" dxfId="4">
      <formula>0</formula>
    </cfRule>
  </conditionalFormatting>
  <conditionalFormatting sqref="F11">
    <cfRule type="cellIs" priority="8" operator="greaterThanOrEqual" aboveAverage="0" equalAverage="0" bottom="0" percent="0" rank="0" text="" dxfId="1">
      <formula>0</formula>
    </cfRule>
    <cfRule type="cellIs" priority="9" operator="lessThan" aboveAverage="0" equalAverage="0" bottom="0" percent="0" rank="0" text="" dxfId="4">
      <formula>0</formula>
    </cfRule>
  </conditionalFormatting>
  <conditionalFormatting sqref="G11">
    <cfRule type="cellIs" priority="10" operator="greaterThanOrEqual" aboveAverage="0" equalAverage="0" bottom="0" percent="0" rank="0" text="" dxfId="1">
      <formula>0</formula>
    </cfRule>
    <cfRule type="cellIs" priority="11" operator="lessThan" aboveAverage="0" equalAverage="0" bottom="0" percent="0" rank="0" text="" dxfId="4">
      <formula>0</formula>
    </cfRule>
  </conditionalFormatting>
  <conditionalFormatting sqref="H11">
    <cfRule type="cellIs" priority="12" operator="greaterThanOrEqual" aboveAverage="0" equalAverage="0" bottom="0" percent="0" rank="0" text="" dxfId="1">
      <formula>0</formula>
    </cfRule>
    <cfRule type="cellIs" priority="13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"/>
    <col collapsed="false" customWidth="true" hidden="false" outlineLevel="0" max="8" min="3" style="1" width="14"/>
    <col collapsed="false" customWidth="true" hidden="false" outlineLevel="0" max="9" min="9" style="1" width="10"/>
  </cols>
  <sheetData>
    <row r="1" customFormat="false" ht="4.5" hidden="false" customHeight="true" outlineLevel="0" collapsed="false"/>
    <row r="2" customFormat="false" ht="4.5" hidden="false" customHeight="true" outlineLevel="0" collapsed="false">
      <c r="A2" s="54" t="s">
        <v>355</v>
      </c>
      <c r="B2" s="54"/>
      <c r="C2" s="54"/>
      <c r="D2" s="54"/>
      <c r="E2" s="54"/>
      <c r="F2" s="54"/>
      <c r="G2" s="54"/>
      <c r="H2" s="54"/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30" hidden="false" customHeight="true" outlineLevel="0" collapsed="false">
      <c r="A5" s="9" t="s">
        <v>356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10" t="s">
        <v>31</v>
      </c>
    </row>
    <row r="7" customFormat="false" ht="15" hidden="false" customHeight="true" outlineLevel="0" collapsed="false">
      <c r="A7" s="11" t="s">
        <v>357</v>
      </c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12" t="s">
        <v>358</v>
      </c>
      <c r="C8" s="25" t="n">
        <f aca="false">0</f>
        <v>0</v>
      </c>
      <c r="D8" s="25" t="n">
        <f aca="false">C11</f>
        <v>4782.5</v>
      </c>
      <c r="E8" s="25" t="n">
        <f aca="false">D11</f>
        <v>4782.5</v>
      </c>
      <c r="F8" s="25" t="n">
        <f aca="false">E11</f>
        <v>4782.5</v>
      </c>
      <c r="G8" s="25" t="n">
        <f aca="false">F11</f>
        <v>4782.5</v>
      </c>
      <c r="H8" s="25" t="n">
        <f aca="false">G11</f>
        <v>4782.5</v>
      </c>
    </row>
    <row r="9" customFormat="false" ht="15" hidden="false" customHeight="true" outlineLevel="0" collapsed="false">
      <c r="A9" s="12" t="s">
        <v>359</v>
      </c>
      <c r="C9" s="28" t="n">
        <f aca="false">PPA!C42</f>
        <v>4782.5</v>
      </c>
      <c r="D9" s="25" t="n">
        <f aca="false">0</f>
        <v>0</v>
      </c>
      <c r="E9" s="25" t="n">
        <f aca="false">0</f>
        <v>0</v>
      </c>
      <c r="F9" s="25" t="n">
        <f aca="false">0</f>
        <v>0</v>
      </c>
      <c r="G9" s="25" t="n">
        <f aca="false">0</f>
        <v>0</v>
      </c>
      <c r="H9" s="25" t="n">
        <f aca="false">0</f>
        <v>0</v>
      </c>
    </row>
    <row r="10" customFormat="false" ht="15" hidden="false" customHeight="true" outlineLevel="0" collapsed="false">
      <c r="A10" s="12" t="s">
        <v>360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</row>
    <row r="11" customFormat="false" ht="15" hidden="false" customHeight="true" outlineLevel="0" collapsed="false">
      <c r="A11" s="19" t="s">
        <v>361</v>
      </c>
      <c r="B11" s="58"/>
      <c r="C11" s="21" t="n">
        <f aca="false">C8+C9+C10</f>
        <v>4782.5</v>
      </c>
      <c r="D11" s="21" t="n">
        <f aca="false">D8+D9+D10</f>
        <v>4782.5</v>
      </c>
      <c r="E11" s="21" t="n">
        <f aca="false">E8+E9+E10</f>
        <v>4782.5</v>
      </c>
      <c r="F11" s="21" t="n">
        <f aca="false">F8+F9+F10</f>
        <v>4782.5</v>
      </c>
      <c r="G11" s="21" t="n">
        <f aca="false">G8+G9+G10</f>
        <v>4782.5</v>
      </c>
      <c r="H11" s="21" t="n">
        <f aca="false">H8+H9+H10</f>
        <v>4782.5</v>
      </c>
      <c r="I11" s="58"/>
    </row>
    <row r="13" customFormat="false" ht="15" hidden="false" customHeight="true" outlineLevel="0" collapsed="false">
      <c r="A13" s="11" t="s">
        <v>362</v>
      </c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true" outlineLevel="0" collapsed="false">
      <c r="A14" s="12" t="s">
        <v>363</v>
      </c>
      <c r="C14" s="25" t="n">
        <f aca="false">0</f>
        <v>0</v>
      </c>
      <c r="D14" s="25" t="n">
        <f aca="false">C17</f>
        <v>140</v>
      </c>
      <c r="E14" s="25" t="n">
        <f aca="false">D17</f>
        <v>120</v>
      </c>
      <c r="F14" s="25" t="n">
        <f aca="false">E17</f>
        <v>100</v>
      </c>
      <c r="G14" s="25" t="n">
        <f aca="false">F17</f>
        <v>80</v>
      </c>
      <c r="H14" s="25" t="n">
        <f aca="false">G17</f>
        <v>60</v>
      </c>
    </row>
    <row r="15" customFormat="false" ht="15" hidden="false" customHeight="true" outlineLevel="0" collapsed="false">
      <c r="A15" s="12" t="s">
        <v>364</v>
      </c>
      <c r="C15" s="22" t="n">
        <v>160</v>
      </c>
      <c r="D15" s="25" t="n">
        <f aca="false">0</f>
        <v>0</v>
      </c>
      <c r="E15" s="25" t="n">
        <f aca="false">0</f>
        <v>0</v>
      </c>
      <c r="F15" s="25" t="n">
        <f aca="false">0</f>
        <v>0</v>
      </c>
      <c r="G15" s="25" t="n">
        <f aca="false">0</f>
        <v>0</v>
      </c>
      <c r="H15" s="25" t="n">
        <f aca="false">0</f>
        <v>0</v>
      </c>
    </row>
    <row r="16" customFormat="false" ht="15" hidden="false" customHeight="true" outlineLevel="0" collapsed="false">
      <c r="A16" s="12" t="s">
        <v>365</v>
      </c>
      <c r="C16" s="22" t="n">
        <v>-20</v>
      </c>
      <c r="D16" s="22" t="n">
        <v>-20</v>
      </c>
      <c r="E16" s="22" t="n">
        <v>-20</v>
      </c>
      <c r="F16" s="22" t="n">
        <v>-20</v>
      </c>
      <c r="G16" s="22" t="n">
        <v>-20</v>
      </c>
      <c r="H16" s="22" t="n">
        <v>-20</v>
      </c>
    </row>
    <row r="17" customFormat="false" ht="15" hidden="false" customHeight="true" outlineLevel="0" collapsed="false">
      <c r="A17" s="19" t="s">
        <v>366</v>
      </c>
      <c r="B17" s="58"/>
      <c r="C17" s="21" t="n">
        <f aca="false">C14+C15+C16</f>
        <v>140</v>
      </c>
      <c r="D17" s="21" t="n">
        <f aca="false">D14+D15+D16</f>
        <v>120</v>
      </c>
      <c r="E17" s="21" t="n">
        <f aca="false">E14+E15+E16</f>
        <v>100</v>
      </c>
      <c r="F17" s="21" t="n">
        <f aca="false">F14+F15+F16</f>
        <v>80</v>
      </c>
      <c r="G17" s="21" t="n">
        <f aca="false">G14+G15+G16</f>
        <v>60</v>
      </c>
      <c r="H17" s="21" t="n">
        <f aca="false">H14+H15+H16</f>
        <v>40</v>
      </c>
      <c r="I17" s="58"/>
    </row>
    <row r="19" customFormat="false" ht="15" hidden="false" customHeight="true" outlineLevel="0" collapsed="false">
      <c r="A19" s="11" t="s">
        <v>367</v>
      </c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true" outlineLevel="0" collapsed="false">
      <c r="A20" s="64" t="s">
        <v>368</v>
      </c>
      <c r="C20" s="65" t="s">
        <v>369</v>
      </c>
      <c r="D20" s="65" t="s">
        <v>370</v>
      </c>
      <c r="E20" s="65" t="s">
        <v>371</v>
      </c>
    </row>
    <row r="21" customFormat="false" ht="15" hidden="false" customHeight="true" outlineLevel="0" collapsed="false">
      <c r="A21" s="12" t="s">
        <v>141</v>
      </c>
      <c r="C21" s="22" t="n">
        <v>80</v>
      </c>
      <c r="D21" s="18" t="n">
        <v>12</v>
      </c>
      <c r="E21" s="25" t="n">
        <f aca="false">C21/D21</f>
        <v>6.66666666666667</v>
      </c>
    </row>
    <row r="22" customFormat="false" ht="15" hidden="false" customHeight="true" outlineLevel="0" collapsed="false">
      <c r="A22" s="12" t="s">
        <v>142</v>
      </c>
      <c r="C22" s="22" t="n">
        <v>50</v>
      </c>
      <c r="D22" s="18" t="n">
        <v>7</v>
      </c>
      <c r="E22" s="25" t="n">
        <f aca="false">C22/D22</f>
        <v>7.14285714285714</v>
      </c>
    </row>
    <row r="23" customFormat="false" ht="15" hidden="false" customHeight="true" outlineLevel="0" collapsed="false">
      <c r="A23" s="12" t="s">
        <v>143</v>
      </c>
      <c r="C23" s="22" t="n">
        <v>20</v>
      </c>
      <c r="D23" s="18" t="n">
        <v>10</v>
      </c>
      <c r="E23" s="25" t="n">
        <f aca="false">C23/D23</f>
        <v>2</v>
      </c>
    </row>
    <row r="24" customFormat="false" ht="15" hidden="false" customHeight="true" outlineLevel="0" collapsed="false">
      <c r="A24" s="12" t="s">
        <v>144</v>
      </c>
      <c r="C24" s="22" t="n">
        <v>10</v>
      </c>
      <c r="D24" s="18" t="n">
        <v>3</v>
      </c>
      <c r="E24" s="25" t="n">
        <f aca="false">C24/D24</f>
        <v>3.33333333333333</v>
      </c>
    </row>
    <row r="25" customFormat="false" ht="15" hidden="false" customHeight="true" outlineLevel="0" collapsed="false">
      <c r="A25" s="19" t="s">
        <v>372</v>
      </c>
      <c r="B25" s="58"/>
      <c r="C25" s="21" t="n">
        <f aca="false">SUM(C21:C24)</f>
        <v>160</v>
      </c>
      <c r="D25" s="58"/>
      <c r="E25" s="21" t="n">
        <f aca="false">SUM(E21:E24)</f>
        <v>19.1428571428571</v>
      </c>
    </row>
  </sheetData>
  <mergeCells count="4">
    <mergeCell ref="A2:H2"/>
    <mergeCell ref="A7:I7"/>
    <mergeCell ref="A13:I13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B1:G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5"/>
    <col collapsed="false" customWidth="true" hidden="false" outlineLevel="0" max="7" min="3" style="1" width="14"/>
    <col collapsed="false" customWidth="true" hidden="false" outlineLevel="0" max="8" min="8" style="1" width="5"/>
  </cols>
  <sheetData>
    <row r="1" customFormat="false" ht="4.5" hidden="false" customHeight="true" outlineLevel="0" collapsed="false"/>
    <row r="2" customFormat="false" ht="4.5" hidden="false" customHeight="true" outlineLevel="0" collapsed="false">
      <c r="B2" s="54" t="s">
        <v>373</v>
      </c>
      <c r="C2" s="54"/>
      <c r="D2" s="54"/>
      <c r="E2" s="54"/>
      <c r="F2" s="54"/>
      <c r="G2" s="54"/>
    </row>
    <row r="3" customFormat="false" ht="4.5" hidden="false" customHeight="true" outlineLevel="0" collapsed="false"/>
    <row r="5" customFormat="false" ht="15" hidden="false" customHeight="true" outlineLevel="0" collapsed="false">
      <c r="B5" s="130" t="s">
        <v>374</v>
      </c>
      <c r="C5" s="130"/>
      <c r="D5" s="130"/>
      <c r="E5" s="130"/>
      <c r="F5" s="130"/>
      <c r="G5" s="130"/>
    </row>
    <row r="6" customFormat="false" ht="15" hidden="false" customHeight="true" outlineLevel="0" collapsed="false">
      <c r="B6" s="131" t="s">
        <v>375</v>
      </c>
      <c r="C6" s="132" t="s">
        <v>376</v>
      </c>
      <c r="D6" s="132" t="s">
        <v>377</v>
      </c>
      <c r="E6" s="132" t="s">
        <v>378</v>
      </c>
      <c r="F6" s="132" t="s">
        <v>379</v>
      </c>
      <c r="G6" s="132" t="s">
        <v>380</v>
      </c>
    </row>
    <row r="7" customFormat="false" ht="15" hidden="false" customHeight="true" outlineLevel="0" collapsed="false">
      <c r="B7" s="133" t="s">
        <v>381</v>
      </c>
      <c r="C7" s="134" t="n">
        <v>-0.253273229916915</v>
      </c>
      <c r="D7" s="134" t="n">
        <v>-0.254573403356934</v>
      </c>
      <c r="E7" s="134" t="n">
        <v>-0.258419557203088</v>
      </c>
      <c r="F7" s="134" t="n">
        <v>-0.262265711049242</v>
      </c>
      <c r="G7" s="134" t="n">
        <v>-0.266111864895395</v>
      </c>
    </row>
    <row r="8" customFormat="false" ht="15" hidden="false" customHeight="true" outlineLevel="0" collapsed="false">
      <c r="B8" s="133" t="s">
        <v>382</v>
      </c>
      <c r="C8" s="134" t="n">
        <v>-0.243089308292376</v>
      </c>
      <c r="D8" s="134" t="n">
        <v>-0.24693546213853</v>
      </c>
      <c r="E8" s="134" t="n">
        <v>-0.250781615984683</v>
      </c>
      <c r="F8" s="134" t="n">
        <v>-0.254627769830837</v>
      </c>
      <c r="G8" s="134" t="n">
        <v>-0.258473923676991</v>
      </c>
    </row>
    <row r="9" customFormat="false" ht="15" hidden="false" customHeight="true" outlineLevel="0" collapsed="false">
      <c r="B9" s="133" t="s">
        <v>383</v>
      </c>
      <c r="C9" s="134" t="n">
        <v>-0.235451367073972</v>
      </c>
      <c r="D9" s="134" t="n">
        <v>-0.239297520920125</v>
      </c>
      <c r="E9" s="134" t="n">
        <v>-0.243143674766279</v>
      </c>
      <c r="F9" s="134" t="n">
        <v>-0.246989828612433</v>
      </c>
      <c r="G9" s="134" t="n">
        <v>-0.250835982458587</v>
      </c>
    </row>
    <row r="10" customFormat="false" ht="15" hidden="false" customHeight="true" outlineLevel="0" collapsed="false">
      <c r="B10" s="133" t="s">
        <v>384</v>
      </c>
      <c r="C10" s="134" t="n">
        <v>-0.227813425855567</v>
      </c>
      <c r="D10" s="134" t="n">
        <v>-0.231659579701721</v>
      </c>
      <c r="E10" s="134" t="n">
        <v>-0.235505733547875</v>
      </c>
      <c r="F10" s="134" t="n">
        <v>-0.239351887394029</v>
      </c>
      <c r="G10" s="134" t="n">
        <v>-0.243198041240182</v>
      </c>
    </row>
    <row r="11" customFormat="false" ht="15" hidden="false" customHeight="true" outlineLevel="0" collapsed="false">
      <c r="B11" s="133" t="s">
        <v>385</v>
      </c>
      <c r="C11" s="134" t="n">
        <v>-0.220175484637163</v>
      </c>
      <c r="D11" s="134" t="n">
        <v>-0.224021638483316</v>
      </c>
      <c r="E11" s="134" t="n">
        <v>-0.22786779232947</v>
      </c>
      <c r="F11" s="134" t="n">
        <v>-0.231713946175624</v>
      </c>
      <c r="G11" s="134" t="n">
        <v>-0.235560100021778</v>
      </c>
    </row>
    <row r="13" customFormat="false" ht="15" hidden="false" customHeight="true" outlineLevel="0" collapsed="false">
      <c r="B13" s="130" t="s">
        <v>386</v>
      </c>
      <c r="C13" s="130"/>
      <c r="D13" s="130"/>
      <c r="E13" s="130"/>
      <c r="F13" s="130"/>
      <c r="G13" s="130"/>
    </row>
    <row r="14" customFormat="false" ht="15" hidden="false" customHeight="true" outlineLevel="0" collapsed="false">
      <c r="B14" s="131" t="s">
        <v>387</v>
      </c>
      <c r="C14" s="132" t="s">
        <v>388</v>
      </c>
      <c r="D14" s="132" t="s">
        <v>389</v>
      </c>
      <c r="E14" s="132" t="s">
        <v>390</v>
      </c>
      <c r="F14" s="132" t="s">
        <v>391</v>
      </c>
      <c r="G14" s="132" t="s">
        <v>392</v>
      </c>
    </row>
    <row r="15" customFormat="false" ht="15" hidden="false" customHeight="true" outlineLevel="0" collapsed="false">
      <c r="B15" s="133" t="s">
        <v>393</v>
      </c>
      <c r="C15" s="135" t="n">
        <v>5</v>
      </c>
      <c r="D15" s="135" t="n">
        <v>5.41666666666667</v>
      </c>
      <c r="E15" s="135" t="n">
        <v>5.83333333333333</v>
      </c>
      <c r="F15" s="135" t="n">
        <v>6.25</v>
      </c>
      <c r="G15" s="135" t="n">
        <v>6.66666666666667</v>
      </c>
    </row>
    <row r="16" customFormat="false" ht="15" hidden="false" customHeight="true" outlineLevel="0" collapsed="false">
      <c r="B16" s="133" t="s">
        <v>394</v>
      </c>
      <c r="C16" s="135" t="n">
        <v>4.44444444444445</v>
      </c>
      <c r="D16" s="135" t="n">
        <v>4.81481481481482</v>
      </c>
      <c r="E16" s="135" t="n">
        <v>5.18518518518519</v>
      </c>
      <c r="F16" s="135" t="n">
        <v>5.55555555555556</v>
      </c>
      <c r="G16" s="135" t="n">
        <v>5.92592592592593</v>
      </c>
    </row>
    <row r="17" customFormat="false" ht="15" hidden="false" customHeight="true" outlineLevel="0" collapsed="false">
      <c r="B17" s="133" t="s">
        <v>395</v>
      </c>
      <c r="C17" s="135" t="n">
        <v>4</v>
      </c>
      <c r="D17" s="135" t="n">
        <v>4.33333333333333</v>
      </c>
      <c r="E17" s="135" t="n">
        <v>4.66666666666667</v>
      </c>
      <c r="F17" s="135" t="n">
        <v>5</v>
      </c>
      <c r="G17" s="135" t="n">
        <v>5.33333333333333</v>
      </c>
    </row>
    <row r="18" customFormat="false" ht="15" hidden="false" customHeight="true" outlineLevel="0" collapsed="false">
      <c r="B18" s="133" t="s">
        <v>396</v>
      </c>
      <c r="C18" s="135" t="n">
        <v>3.63636363636364</v>
      </c>
      <c r="D18" s="135" t="n">
        <v>3.93939393939394</v>
      </c>
      <c r="E18" s="135" t="n">
        <v>4.24242424242424</v>
      </c>
      <c r="F18" s="135" t="n">
        <v>4.54545454545455</v>
      </c>
      <c r="G18" s="135" t="n">
        <v>4.84848484848485</v>
      </c>
    </row>
    <row r="19" customFormat="false" ht="15" hidden="false" customHeight="true" outlineLevel="0" collapsed="false">
      <c r="B19" s="133" t="s">
        <v>397</v>
      </c>
      <c r="C19" s="135" t="n">
        <v>3.33333333333333</v>
      </c>
      <c r="D19" s="135" t="n">
        <v>3.61111111111111</v>
      </c>
      <c r="E19" s="135" t="n">
        <v>3.88888888888889</v>
      </c>
      <c r="F19" s="135" t="n">
        <v>4.16666666666667</v>
      </c>
      <c r="G19" s="135" t="n">
        <v>4.44444444444445</v>
      </c>
    </row>
    <row r="21" customFormat="false" ht="15" hidden="false" customHeight="true" outlineLevel="0" collapsed="false">
      <c r="B21" s="130" t="s">
        <v>398</v>
      </c>
      <c r="C21" s="130"/>
      <c r="D21" s="130"/>
      <c r="E21" s="130"/>
      <c r="F21" s="130"/>
      <c r="G21" s="130"/>
    </row>
    <row r="22" customFormat="false" ht="15" hidden="false" customHeight="true" outlineLevel="0" collapsed="false">
      <c r="B22" s="131" t="s">
        <v>399</v>
      </c>
      <c r="C22" s="132" t="s">
        <v>400</v>
      </c>
      <c r="D22" s="132" t="s">
        <v>401</v>
      </c>
      <c r="E22" s="132" t="s">
        <v>402</v>
      </c>
      <c r="F22" s="132" t="s">
        <v>403</v>
      </c>
      <c r="G22" s="132" t="s">
        <v>404</v>
      </c>
    </row>
    <row r="23" customFormat="false" ht="15" hidden="false" customHeight="true" outlineLevel="0" collapsed="false">
      <c r="B23" s="133" t="s">
        <v>405</v>
      </c>
      <c r="C23" s="134" t="n">
        <v>-0.018</v>
      </c>
      <c r="D23" s="134" t="n">
        <v>-0.028</v>
      </c>
      <c r="E23" s="134" t="n">
        <v>-0.038</v>
      </c>
      <c r="F23" s="134" t="n">
        <v>-0.048</v>
      </c>
      <c r="G23" s="134" t="n">
        <v>-0.058</v>
      </c>
    </row>
    <row r="24" customFormat="false" ht="15" hidden="false" customHeight="true" outlineLevel="0" collapsed="false">
      <c r="B24" s="133" t="s">
        <v>406</v>
      </c>
      <c r="C24" s="134" t="n">
        <v>-0.036</v>
      </c>
      <c r="D24" s="134" t="n">
        <v>-0.046</v>
      </c>
      <c r="E24" s="134" t="n">
        <v>-0.056</v>
      </c>
      <c r="F24" s="134" t="n">
        <v>-0.066</v>
      </c>
      <c r="G24" s="134" t="n">
        <v>-0.076</v>
      </c>
    </row>
    <row r="25" customFormat="false" ht="15" hidden="false" customHeight="true" outlineLevel="0" collapsed="false">
      <c r="B25" s="133" t="s">
        <v>407</v>
      </c>
      <c r="C25" s="134" t="n">
        <v>-0.054</v>
      </c>
      <c r="D25" s="134" t="n">
        <v>-0.064</v>
      </c>
      <c r="E25" s="134" t="n">
        <v>-0.074</v>
      </c>
      <c r="F25" s="134" t="n">
        <v>-0.084</v>
      </c>
      <c r="G25" s="134" t="n">
        <v>-0.094</v>
      </c>
    </row>
    <row r="26" customFormat="false" ht="15" hidden="false" customHeight="true" outlineLevel="0" collapsed="false">
      <c r="B26" s="133" t="s">
        <v>408</v>
      </c>
      <c r="C26" s="134" t="n">
        <v>-0.072</v>
      </c>
      <c r="D26" s="134" t="n">
        <v>-0.082</v>
      </c>
      <c r="E26" s="134" t="n">
        <v>-0.092</v>
      </c>
      <c r="F26" s="134" t="n">
        <v>-0.102</v>
      </c>
      <c r="G26" s="134" t="n">
        <v>-0.112</v>
      </c>
    </row>
    <row r="27" customFormat="false" ht="15" hidden="false" customHeight="true" outlineLevel="0" collapsed="false">
      <c r="B27" s="133" t="s">
        <v>409</v>
      </c>
      <c r="C27" s="134" t="n">
        <v>-0.09</v>
      </c>
      <c r="D27" s="134" t="n">
        <v>-0.1</v>
      </c>
      <c r="E27" s="134" t="n">
        <v>-0.11</v>
      </c>
      <c r="F27" s="134" t="n">
        <v>-0.12</v>
      </c>
      <c r="G27" s="134" t="n">
        <v>-0.13</v>
      </c>
    </row>
  </sheetData>
  <mergeCells count="4">
    <mergeCell ref="B2:G2"/>
    <mergeCell ref="B5:G5"/>
    <mergeCell ref="B13:G13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2026-06-19T06:54:12Z</dcterms:created>
  <dc:creator>openpyxl</dc:creator>
  <dc:description/>
  <dc:language>en-US</dc:language>
  <cp:lastModifiedBy/>
  <dcterms:modified xsi:type="dcterms:W3CDTF">2026-06-19T11:56:44Z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